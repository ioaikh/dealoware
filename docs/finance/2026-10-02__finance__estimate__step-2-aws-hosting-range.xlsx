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Live" sheetId="2" state="visible" r:id="rId2"/>
    <sheet xmlns:r="http://schemas.openxmlformats.org/officeDocument/2006/relationships" name="Rungs" sheetId="3" state="visible" r:id="rId3"/>
    <sheet xmlns:r="http://schemas.openxmlformats.org/officeDocument/2006/relationships" name="Breakpoints" sheetId="4" state="visible" r:id="rId4"/>
    <sheet xmlns:r="http://schemas.openxmlformats.org/officeDocument/2006/relationships" name="Reconcile" sheetId="5" state="visible" r:id="rId5"/>
    <sheet xmlns:r="http://schemas.openxmlformats.org/officeDocument/2006/relationships" name="Rates" sheetId="6" state="visible" r:id="rId6"/>
    <sheet xmlns:r="http://schemas.openxmlformats.org/officeDocument/2006/relationships" name="Classes" sheetId="7" state="visible" r:id="rId7"/>
  </sheets>
  <definedNames>
    <definedName name="Hours">Rates!$B$5</definedName>
    <definedName name="FargateCpuRate">Rates!$B$6</definedName>
    <definedName name="FargateMemRate">Rates!$B$7</definedName>
    <definedName name="AlbHourly">Rates!$B$8</definedName>
    <definedName name="LcuHourly">Rates!$B$9</definedName>
    <definedName name="Ipv4Hourly">Rates!$B$10</definedName>
    <definedName name="Gp3Rate">Rates!$B$11</definedName>
    <definedName name="SecretMonthly">Rates!$B$12</definedName>
    <definedName name="SecretApiRate">Rates!$B$13</definedName>
    <definedName name="CwIngest">Rates!$B$14</definedName>
    <definedName name="CwStore">Rates!$B$15</definedName>
    <definedName name="CwFreeGb">Rates!$B$16</definedName>
    <definedName name="XferRate">Rates!$B$17</definedName>
    <definedName name="XferFreeGb">Rates!$B$18</definedName>
    <definedName name="NatHourly">Rates!$B$19</definedName>
    <definedName name="NatPerGb">Rates!$B$20</definedName>
    <definedName name="AuroraAcu">Rates!$B$21</definedName>
    <definedName name="AuroraGb">Rates!$B$22</definedName>
    <definedName name="CpuTarget">Rates!$B$23</definedName>
    <definedName name="ExpressMax">Rates!$B$24</definedName>
    <definedName name="TaskQuota">Rates!$B$25</definedName>
    <definedName name="FargateMaxVcpu">Rates!$B$26</definedName>
    <definedName name="FargateVcpuQuota">Rates!$B$27</definedName>
    <definedName name="AlbIpv4">Rates!$B$28</definedName>
    <definedName name="MinLcu">Rates!$B$29</definedName>
    <definedName name="SecretCount">Rates!$B$30</definedName>
    <definedName name="SecretCalls">Rates!$B$31</definedName>
    <definedName name="ConnDivisor">Rates!$B$32</definedName>
    <definedName name="ConnCapMax">Rates!$B$33</definedName>
    <definedName name="AcuPerVcpu">Rates!$B$34</definedName>
    <definedName name="Users">Inputs!$B$5</definedName>
    <definedName name="Bots">Inputs!$B$6</definedName>
    <definedName name="Offers">Inputs!$B$7</definedName>
    <definedName name="Messages">Inputs!$B$8</definedName>
    <definedName name="ReqPerUser">Inputs!$B$9</definedName>
    <definedName name="ReqPerBot">Inputs!$B$10</definedName>
    <definedName name="ReqPerOffer">Inputs!$B$11</definedName>
    <definedName name="ReqPerMessage">Inputs!$B$12</definedName>
    <definedName name="Peak">Inputs!$B$13</definedName>
    <definedName name="ReqKB">Inputs!$B$14</definedName>
    <definedName name="RespMult">Inputs!$B$15</definedName>
    <definedName name="ReqPerConn">Inputs!$B$16</definedName>
    <definedName name="LogPerM">Inputs!$B$17</definedName>
    <definedName name="DbFloor">Inputs!$B$18</definedName>
    <definedName name="DbPerM">Inputs!$B$19</definedName>
    <definedName name="AppVcpuS">Inputs!$B$20</definedName>
    <definedName name="DbVcpuS">Inputs!$B$21</definedName>
    <definedName name="HoldS">Inputs!$B$22</definedName>
    <definedName name="NatOn">Inputs!$B$23</definedName>
    <definedName name="TaskPublicIp">Inputs!$B$24</definedName>
    <definedName name="ClassNames">Classes!$A$5:$A$265</definedName>
    <definedName name="ClassPrices">Classes!$B$5:$B$265</definedName>
    <definedName name="ClassVcpu">Classes!$C$5:$C$265</definedName>
    <definedName name="ClassMem">Classes!$D$5:$D$265</definedName>
    <definedName name="ClassCap">Classes!$F$5:$F$265</definedName>
    <definedName name="ClassUse">Classes!$G$5:$G$265</definedName>
    <definedName name="_xlnm._FilterDatabase" localSheetId="0" hidden="1">'Inputs'!$A$4:$E$24</definedName>
    <definedName name="_xlnm.Print_Titles" localSheetId="0">'Inputs'!$1:$4</definedName>
    <definedName name="_xlnm.Print_Titles" localSheetId="1">'Live'!$1:$4</definedName>
    <definedName name="_xlnm._FilterDatabase" localSheetId="2" hidden="1">'Rungs'!$A$4:$AN$29</definedName>
    <definedName name="_xlnm.Print_Titles" localSheetId="2">'Rungs'!$1:$4</definedName>
    <definedName name="_xlnm.Print_Titles" localSheetId="3">'Breakpoints'!$1:$4</definedName>
    <definedName name="_xlnm.Print_Titles" localSheetId="4">'Reconcile'!$1:$4</definedName>
    <definedName name="_xlnm._FilterDatabase" localSheetId="5" hidden="1">'Rates'!$A$4:$F$34</definedName>
    <definedName name="_xlnm.Print_Titles" localSheetId="5">'Rates'!$1:$4</definedName>
    <definedName name="_xlnm._FilterDatabase" localSheetId="6" hidden="1">'Classes'!$A$4:$G$265</definedName>
    <definedName name="_xlnm.Print_Titles" localSheetId="6">'Classes'!$1:$4</definedName>
  </definedNames>
  <calcPr calcId="124519" fullCalcOnLoad="1"/>
</workbook>
</file>

<file path=xl/styles.xml><?xml version="1.0" encoding="utf-8"?>
<styleSheet xmlns="http://schemas.openxmlformats.org/spreadsheetml/2006/main">
  <numFmts count="8">
    <numFmt numFmtId="164" formatCode="&quot;$&quot;#,##0.00"/>
    <numFmt numFmtId="165" formatCode="#,##0.0000"/>
    <numFmt numFmtId="166" formatCode="0.0000"/>
    <numFmt numFmtId="167" formatCode="0.000"/>
    <numFmt numFmtId="168" formatCode="&quot;$&quot;#,##0.000000"/>
    <numFmt numFmtId="169" formatCode="&quot;$&quot;#,##0.0000"/>
    <numFmt numFmtId="170" formatCode="0.000000"/>
    <numFmt numFmtId="171" formatCode="0.000000000"/>
  </numFmts>
  <fonts count="9">
    <font>
      <name val="Calibri"/>
      <family val="2"/>
      <color theme="1"/>
      <sz val="11"/>
      <scheme val="minor"/>
    </font>
    <font>
      <name val="Calibri"/>
      <b val="1"/>
      <color rgb="001F4E79"/>
      <sz val="16"/>
    </font>
    <font>
      <name val="Calibri"/>
      <b val="1"/>
      <color rgb="00FFFFFF"/>
      <sz val="11"/>
    </font>
    <font>
      <name val="Calibri"/>
      <sz val="11"/>
    </font>
    <font>
      <name val="Calibri"/>
      <color rgb="000000FF"/>
      <sz val="11"/>
    </font>
    <font>
      <name val="Calibri"/>
      <color rgb="000563C1"/>
      <sz val="10"/>
    </font>
    <font>
      <name val="Calibri"/>
      <b val="1"/>
      <color rgb="000000FF"/>
      <sz val="12"/>
    </font>
    <font>
      <name val="Calibri"/>
      <b val="1"/>
      <sz val="11"/>
    </font>
    <font>
      <name val="Calibri"/>
      <b val="1"/>
      <color rgb="001F4E79"/>
      <sz val="12"/>
    </font>
  </fonts>
  <fills count="6">
    <fill>
      <patternFill/>
    </fill>
    <fill>
      <patternFill patternType="gray125"/>
    </fill>
    <fill>
      <patternFill patternType="solid">
        <fgColor rgb="001F4E79"/>
      </patternFill>
    </fill>
    <fill>
      <patternFill patternType="solid">
        <fgColor rgb="00FFF2CC"/>
      </patternFill>
    </fill>
    <fill>
      <patternFill patternType="solid">
        <fgColor rgb="00D6E3F0"/>
      </patternFill>
    </fill>
    <fill>
      <patternFill patternType="solid">
        <fgColor rgb="00D9EAD3"/>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57">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2" borderId="0" applyAlignment="1" pivotButton="0" quotePrefix="0" xfId="0">
      <alignment vertical="center" wrapText="1"/>
    </xf>
    <xf numFmtId="0" fontId="3" fillId="0" borderId="1" applyAlignment="1" pivotButton="0" quotePrefix="0" xfId="0">
      <alignment vertical="center" wrapText="1"/>
    </xf>
    <xf numFmtId="1" fontId="6" fillId="3" borderId="1" applyAlignment="1" pivotButton="0" quotePrefix="0" xfId="0">
      <alignment vertical="center" wrapText="1"/>
    </xf>
    <xf numFmtId="0" fontId="7" fillId="0" borderId="1" applyAlignment="1" pivotButton="0" quotePrefix="0" xfId="0">
      <alignment vertical="center" wrapText="1"/>
    </xf>
    <xf numFmtId="2" fontId="6" fillId="3" borderId="1" applyAlignment="1" pivotButton="0" quotePrefix="0" xfId="0">
      <alignment vertical="center" wrapText="1"/>
    </xf>
    <xf numFmtId="0" fontId="8" fillId="4" borderId="0" pivotButton="0" quotePrefix="0" xfId="0"/>
    <xf numFmtId="0" fontId="7" fillId="0" borderId="0" pivotButton="0" quotePrefix="0" xfId="0"/>
    <xf numFmtId="0" fontId="3" fillId="0" borderId="1" pivotButton="0" quotePrefix="0" xfId="0"/>
    <xf numFmtId="164" fontId="3" fillId="0" borderId="1" pivotButton="0" quotePrefix="0" xfId="0"/>
    <xf numFmtId="0" fontId="0" fillId="0" borderId="1" pivotButton="0" quotePrefix="0" xfId="0"/>
    <xf numFmtId="0" fontId="2" fillId="2" borderId="0" pivotButton="0" quotePrefix="0" xfId="0"/>
    <xf numFmtId="165" fontId="3" fillId="0" borderId="1" pivotButton="0" quotePrefix="0" xfId="0"/>
    <xf numFmtId="2" fontId="3" fillId="0" borderId="1" pivotButton="0" quotePrefix="0" xfId="0"/>
    <xf numFmtId="1" fontId="3" fillId="0" borderId="1" pivotButton="0" quotePrefix="0" xfId="0"/>
    <xf numFmtId="166" fontId="3" fillId="0" borderId="1" pivotButton="0" quotePrefix="0" xfId="0"/>
    <xf numFmtId="167" fontId="3" fillId="0" borderId="1" pivotButton="0" quotePrefix="0" xfId="0"/>
    <xf numFmtId="168" fontId="7" fillId="5" borderId="1" pivotButton="0" quotePrefix="0" xfId="0"/>
    <xf numFmtId="164" fontId="7" fillId="5" borderId="1" pivotButton="0" quotePrefix="0" xfId="0"/>
    <xf numFmtId="0" fontId="3" fillId="4" borderId="1" pivotButton="0" quotePrefix="0" xfId="0"/>
    <xf numFmtId="164" fontId="3" fillId="3" borderId="1" pivotButton="0" quotePrefix="0" xfId="0"/>
    <xf numFmtId="3" fontId="3" fillId="3" borderId="1" applyAlignment="1" pivotButton="0" quotePrefix="0" xfId="0">
      <alignment vertical="center" wrapText="1"/>
    </xf>
    <xf numFmtId="165" fontId="3" fillId="0" borderId="1" applyAlignment="1" pivotButton="0" quotePrefix="0" xfId="0">
      <alignment vertical="center" wrapText="1"/>
    </xf>
    <xf numFmtId="2" fontId="3" fillId="0" borderId="1" applyAlignment="1" pivotButton="0" quotePrefix="0" xfId="0">
      <alignment vertical="center" wrapText="1"/>
    </xf>
    <xf numFmtId="3" fontId="3" fillId="0" borderId="1" applyAlignment="1" pivotButton="0" quotePrefix="0" xfId="0">
      <alignment vertical="center" wrapText="1"/>
    </xf>
    <xf numFmtId="167" fontId="3" fillId="0" borderId="1" applyAlignment="1" pivotButton="0" quotePrefix="0" xfId="0">
      <alignment vertical="center" wrapText="1"/>
    </xf>
    <xf numFmtId="164" fontId="3" fillId="0" borderId="1" applyAlignment="1" pivotButton="0" quotePrefix="0" xfId="0">
      <alignment vertical="center" wrapText="1"/>
    </xf>
    <xf numFmtId="169" fontId="3" fillId="0" borderId="1" applyAlignment="1" pivotButton="0" quotePrefix="0" xfId="0">
      <alignment vertical="center" wrapText="1"/>
    </xf>
    <xf numFmtId="3" fontId="7" fillId="0" borderId="1" applyAlignment="1" pivotButton="0" quotePrefix="0" xfId="0">
      <alignment vertical="center" wrapText="1"/>
    </xf>
    <xf numFmtId="0" fontId="5" fillId="0" borderId="1" applyAlignment="1" pivotButton="0" quotePrefix="0" xfId="0">
      <alignment vertical="center" wrapText="1"/>
    </xf>
    <xf numFmtId="0" fontId="3" fillId="0" borderId="0" pivotButton="0" quotePrefix="0" xfId="0"/>
    <xf numFmtId="170" fontId="3" fillId="0" borderId="1" pivotButton="0" quotePrefix="0" xfId="0"/>
    <xf numFmtId="0" fontId="7" fillId="5" borderId="1" pivotButton="0" quotePrefix="0" xfId="0"/>
    <xf numFmtId="170" fontId="7" fillId="5" borderId="1" pivotButton="0" quotePrefix="0" xfId="0"/>
    <xf numFmtId="0" fontId="8" fillId="0" borderId="0" pivotButton="0" quotePrefix="0" xfId="0"/>
    <xf numFmtId="0" fontId="3" fillId="0" borderId="0" applyAlignment="1" pivotButton="0" quotePrefix="0" xfId="0">
      <alignment vertical="center" wrapText="1"/>
    </xf>
    <xf numFmtId="1" fontId="4" fillId="3" borderId="1" applyAlignment="1" pivotButton="0" quotePrefix="0" xfId="0">
      <alignment vertical="center" wrapText="1"/>
    </xf>
    <xf numFmtId="171" fontId="4" fillId="3" borderId="1" applyAlignment="1" pivotButton="0" quotePrefix="0" xfId="0">
      <alignment vertical="center" wrapText="1"/>
    </xf>
    <xf numFmtId="2" fontId="4" fillId="3" borderId="1" applyAlignment="1" pivotButton="0" quotePrefix="0" xfId="0">
      <alignment vertical="center" wrapText="1"/>
    </xf>
    <xf numFmtId="164" fontId="3" fillId="0" borderId="1" pivotButton="0" quotePrefix="0" xfId="0"/>
    <xf numFmtId="0" fontId="0" fillId="0" borderId="4" pivotButton="0" quotePrefix="0" xfId="0"/>
    <xf numFmtId="0" fontId="0" fillId="0" borderId="5" pivotButton="0" quotePrefix="0" xfId="0"/>
    <xf numFmtId="165" fontId="3" fillId="0" borderId="1" pivotButton="0" quotePrefix="0" xfId="0"/>
    <xf numFmtId="166" fontId="3" fillId="0" borderId="1" pivotButton="0" quotePrefix="0" xfId="0"/>
    <xf numFmtId="167" fontId="3" fillId="0" borderId="1" pivotButton="0" quotePrefix="0" xfId="0"/>
    <xf numFmtId="168" fontId="7" fillId="5" borderId="1" pivotButton="0" quotePrefix="0" xfId="0"/>
    <xf numFmtId="164" fontId="7" fillId="5" borderId="1" pivotButton="0" quotePrefix="0" xfId="0"/>
    <xf numFmtId="164" fontId="3" fillId="3" borderId="1" pivotButton="0" quotePrefix="0" xfId="0"/>
    <xf numFmtId="165" fontId="3" fillId="0" borderId="1" applyAlignment="1" pivotButton="0" quotePrefix="0" xfId="0">
      <alignment vertical="center" wrapText="1"/>
    </xf>
    <xf numFmtId="167" fontId="3" fillId="0" borderId="1" applyAlignment="1" pivotButton="0" quotePrefix="0" xfId="0">
      <alignment vertical="center" wrapText="1"/>
    </xf>
    <xf numFmtId="164" fontId="3" fillId="0" borderId="1" applyAlignment="1" pivotButton="0" quotePrefix="0" xfId="0">
      <alignment vertical="center" wrapText="1"/>
    </xf>
    <xf numFmtId="169" fontId="3" fillId="0" borderId="1" applyAlignment="1" pivotButton="0" quotePrefix="0" xfId="0">
      <alignment vertical="center" wrapText="1"/>
    </xf>
    <xf numFmtId="170" fontId="3" fillId="0" borderId="1" pivotButton="0" quotePrefix="0" xfId="0"/>
    <xf numFmtId="170" fontId="7" fillId="5" borderId="1" pivotButton="0" quotePrefix="0" xfId="0"/>
    <xf numFmtId="171" fontId="4" fillId="3" borderId="1" applyAlignment="1" pivotButton="0" quotePrefix="0" xfId="0">
      <alignment vertical="center" wrapText="1"/>
    </xf>
  </cellXfs>
  <cellStyles count="1">
    <cellStyle name="Normal" xfId="0" builtinId="0" hidden="0"/>
  </cellStyles>
  <dxfs count="3">
    <dxf>
      <fill>
        <patternFill patternType="solid">
          <fgColor rgb="00F4CCCC"/>
        </patternFill>
      </fill>
    </dxf>
    <dxf>
      <fill>
        <patternFill patternType="solid">
          <fgColor rgb="00D9EAD3"/>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E36"/>
  <sheetViews>
    <sheetView showGridLines="0" workbookViewId="0">
      <pane ySplit="4" topLeftCell="A5" activePane="bottomLeft" state="frozen"/>
      <selection pane="bottomLeft" activeCell="A1" sqref="A1"/>
    </sheetView>
  </sheetViews>
  <sheetFormatPr baseColWidth="8" defaultRowHeight="15"/>
  <cols>
    <col width="36" customWidth="1" min="1" max="1"/>
    <col width="16" customWidth="1" min="2" max="2"/>
    <col width="22" customWidth="1" min="3" max="3"/>
    <col width="24" customWidth="1" min="4" max="4"/>
    <col width="88" customWidth="1" min="5" max="5"/>
  </cols>
  <sheetData>
    <row r="1">
      <c r="A1" s="1" t="inlineStr">
        <is>
          <t>FIN-2026-10-02-02 inputs</t>
        </is>
      </c>
    </row>
    <row r="2" ht="48" customHeight="1">
      <c r="A2" s="2" t="inlineStr">
        <is>
          <t>Yellow cells are for the CEO. The four daily volumes are valid from 1,000 to 10,000,000. Anything else on this sheet is a finance assumption, not a product requirement. Defaults put all four volumes at 1,000 and the per-exchange and per-actor multipliers at 1, so one 0.25 vCPU task and db.t4g.micro still clear the 60% target. This is an estimate. No AWS account, no provision, no spend. PoC stays at $0.</t>
        </is>
      </c>
    </row>
    <row r="4">
      <c r="A4" s="3" t="inlineStr">
        <is>
          <t>Input</t>
        </is>
      </c>
      <c r="B4" s="3" t="inlineStr">
        <is>
          <t>Value</t>
        </is>
      </c>
      <c r="C4" s="3" t="inlineStr">
        <is>
          <t>Unit</t>
        </is>
      </c>
      <c r="D4" s="3" t="inlineStr">
        <is>
          <t>Kind</t>
        </is>
      </c>
      <c r="E4" s="3" t="inlineStr">
        <is>
          <t>Why this default</t>
        </is>
      </c>
    </row>
    <row r="5" ht="32" customHeight="1">
      <c r="A5" s="4" t="inlineStr">
        <is>
          <t>Daily users</t>
        </is>
      </c>
      <c r="B5" s="5" t="n">
        <v>1000</v>
      </c>
      <c r="C5" s="4" t="inlineStr">
        <is>
          <t>count per day</t>
        </is>
      </c>
      <c r="D5" s="6" t="inlineStr">
        <is>
          <t>CEO volume</t>
        </is>
      </c>
      <c r="E5" s="4" t="inlineStr">
        <is>
          <t>Brief default. Valid 1,000 to 10,000,000.</t>
        </is>
      </c>
    </row>
    <row r="6" ht="32" customHeight="1">
      <c r="A6" s="4" t="inlineStr">
        <is>
          <t>Daily bots</t>
        </is>
      </c>
      <c r="B6" s="5" t="n">
        <v>1000</v>
      </c>
      <c r="C6" s="4" t="inlineStr">
        <is>
          <t>count per day</t>
        </is>
      </c>
      <c r="D6" s="6" t="inlineStr">
        <is>
          <t>CEO volume</t>
        </is>
      </c>
      <c r="E6" s="4" t="inlineStr">
        <is>
          <t>Brief default. Valid 1,000 to 10,000,000.</t>
        </is>
      </c>
    </row>
    <row r="7" ht="32" customHeight="1">
      <c r="A7" s="4" t="inlineStr">
        <is>
          <t>Daily offer exchanges</t>
        </is>
      </c>
      <c r="B7" s="5" t="n">
        <v>1000</v>
      </c>
      <c r="C7" s="4" t="inlineStr">
        <is>
          <t>count per day</t>
        </is>
      </c>
      <c r="D7" s="6" t="inlineStr">
        <is>
          <t>CEO volume</t>
        </is>
      </c>
      <c r="E7" s="4" t="inlineStr">
        <is>
          <t>Brief default. Valid 1,000 to 10,000,000.</t>
        </is>
      </c>
    </row>
    <row r="8" ht="32" customHeight="1">
      <c r="A8" s="4" t="inlineStr">
        <is>
          <t>Daily message exchanges</t>
        </is>
      </c>
      <c r="B8" s="5" t="n">
        <v>1000</v>
      </c>
      <c r="C8" s="4" t="inlineStr">
        <is>
          <t>count per day</t>
        </is>
      </c>
      <c r="D8" s="6" t="inlineStr">
        <is>
          <t>CEO volume</t>
        </is>
      </c>
      <c r="E8" s="4" t="inlineStr">
        <is>
          <t>Brief default. Valid 1,000 to 10,000,000.</t>
        </is>
      </c>
    </row>
    <row r="9" ht="32" customHeight="1">
      <c r="A9" s="4" t="inlineStr">
        <is>
          <t>Requests per user-day</t>
        </is>
      </c>
      <c r="B9" s="5" t="n">
        <v>1</v>
      </c>
      <c r="C9" s="4" t="inlineStr">
        <is>
          <t>requests</t>
        </is>
      </c>
      <c r="D9" s="4" t="inlineStr">
        <is>
          <t>Finance assumption</t>
        </is>
      </c>
      <c r="E9" s="4" t="inlineStr">
        <is>
          <t>No product request rate was stated. Default 1 keeps the floor on one small task.</t>
        </is>
      </c>
    </row>
    <row r="10" ht="32" customHeight="1">
      <c r="A10" s="4" t="inlineStr">
        <is>
          <t>Requests per bot-day</t>
        </is>
      </c>
      <c r="B10" s="5" t="n">
        <v>1</v>
      </c>
      <c r="C10" s="4" t="inlineStr">
        <is>
          <t>requests</t>
        </is>
      </c>
      <c r="D10" s="4" t="inlineStr">
        <is>
          <t>Finance assumption</t>
        </is>
      </c>
      <c r="E10" s="4" t="inlineStr">
        <is>
          <t>Same. Not a product requirement.</t>
        </is>
      </c>
    </row>
    <row r="11" ht="32" customHeight="1">
      <c r="A11" s="4" t="inlineStr">
        <is>
          <t>Requests per offer</t>
        </is>
      </c>
      <c r="B11" s="5" t="n">
        <v>1</v>
      </c>
      <c r="C11" s="4" t="inlineStr">
        <is>
          <t>requests</t>
        </is>
      </c>
      <c r="D11" s="4" t="inlineStr">
        <is>
          <t>Finance assumption</t>
        </is>
      </c>
      <c r="E11" s="4" t="inlineStr">
        <is>
          <t>Brief: per-exchange multiplier defaults to 1.</t>
        </is>
      </c>
    </row>
    <row r="12" ht="32" customHeight="1">
      <c r="A12" s="4" t="inlineStr">
        <is>
          <t>Requests per message</t>
        </is>
      </c>
      <c r="B12" s="5" t="n">
        <v>1</v>
      </c>
      <c r="C12" s="4" t="inlineStr">
        <is>
          <t>requests</t>
        </is>
      </c>
      <c r="D12" s="4" t="inlineStr">
        <is>
          <t>Finance assumption</t>
        </is>
      </c>
      <c r="E12" s="4" t="inlineStr">
        <is>
          <t>Brief: per-exchange multiplier defaults to 1.</t>
        </is>
      </c>
    </row>
    <row r="13" ht="32" customHeight="1">
      <c r="A13" s="4" t="inlineStr">
        <is>
          <t>Peak to average</t>
        </is>
      </c>
      <c r="B13" s="5" t="n">
        <v>1</v>
      </c>
      <c r="C13" s="4" t="inlineStr">
        <is>
          <t>ratio</t>
        </is>
      </c>
      <c r="D13" s="4" t="inlineStr">
        <is>
          <t>Finance assumption</t>
        </is>
      </c>
      <c r="E13" s="4" t="inlineStr">
        <is>
          <t>1 means the rung is the average hour, not a spike. Raise it to size for a peak.</t>
        </is>
      </c>
    </row>
    <row r="14" ht="32" customHeight="1">
      <c r="A14" s="4" t="inlineStr">
        <is>
          <t>Average request KB</t>
        </is>
      </c>
      <c r="B14" s="5" t="n">
        <v>1</v>
      </c>
      <c r="C14" s="4" t="inlineStr">
        <is>
          <t>KB</t>
        </is>
      </c>
      <c r="D14" s="4" t="inlineStr">
        <is>
          <t>Finance assumption</t>
        </is>
      </c>
      <c r="E14" s="4" t="inlineStr">
        <is>
          <t>Used for LCU processed bytes and data-transfer GB. Not a measured payload.</t>
        </is>
      </c>
    </row>
    <row r="15" ht="32" customHeight="1">
      <c r="A15" s="4" t="inlineStr">
        <is>
          <t>Response KB per request KB</t>
        </is>
      </c>
      <c r="B15" s="5" t="n">
        <v>1</v>
      </c>
      <c r="C15" s="4" t="inlineStr">
        <is>
          <t>ratio</t>
        </is>
      </c>
      <c r="D15" s="4" t="inlineStr">
        <is>
          <t>Finance assumption</t>
        </is>
      </c>
      <c r="E15" s="4" t="inlineStr">
        <is>
          <t>Response size = request KB times this. Default 1.</t>
        </is>
      </c>
    </row>
    <row r="16" ht="32" customHeight="1">
      <c r="A16" s="4" t="inlineStr">
        <is>
          <t>Requests per new connection</t>
        </is>
      </c>
      <c r="B16" s="5" t="n">
        <v>1</v>
      </c>
      <c r="C16" s="4" t="inlineStr">
        <is>
          <t>requests</t>
        </is>
      </c>
      <c r="D16" s="4" t="inlineStr">
        <is>
          <t>Finance assumption</t>
        </is>
      </c>
      <c r="E16" s="4" t="inlineStr">
        <is>
          <t>Default 1 assumes no keep-alive, so new connections equal peak requests. Raise it if connections are reused.</t>
        </is>
      </c>
    </row>
    <row r="17" ht="32" customHeight="1">
      <c r="A17" s="4" t="inlineStr">
        <is>
          <t>Log GB per million requests</t>
        </is>
      </c>
      <c r="B17" s="5" t="n">
        <v>1</v>
      </c>
      <c r="C17" s="4" t="inlineStr">
        <is>
          <t>GB</t>
        </is>
      </c>
      <c r="D17" s="4" t="inlineStr">
        <is>
          <t>Finance assumption</t>
        </is>
      </c>
      <c r="E17" s="4" t="inlineStr">
        <is>
          <t>1 GB per million requests is 1 KB of log per request. Under 5 GB the CloudWatch line stays $0.</t>
        </is>
      </c>
    </row>
    <row r="18" ht="32" customHeight="1">
      <c r="A18" s="4" t="inlineStr">
        <is>
          <t>DB storage floor</t>
        </is>
      </c>
      <c r="B18" s="5" t="n">
        <v>20</v>
      </c>
      <c r="C18" s="4" t="inlineStr">
        <is>
          <t>GB</t>
        </is>
      </c>
      <c r="D18" s="4" t="inlineStr">
        <is>
          <t>Finance assumption</t>
        </is>
      </c>
      <c r="E18" s="4" t="inlineStr">
        <is>
          <t>Brief floor, matching the 20 GB gp3 in FIN-2026-10-02-01.</t>
        </is>
      </c>
    </row>
    <row r="19" ht="32" customHeight="1">
      <c r="A19" s="4" t="inlineStr">
        <is>
          <t>DB GB per million requests</t>
        </is>
      </c>
      <c r="B19" s="7" t="n">
        <v>0.1</v>
      </c>
      <c r="C19" s="4" t="inlineStr">
        <is>
          <t>GB</t>
        </is>
      </c>
      <c r="D19" s="4" t="inlineStr">
        <is>
          <t>Finance assumption</t>
        </is>
      </c>
      <c r="E19" s="4" t="inlineStr">
        <is>
          <t>Added so storage can rise above 20 GB inside the range. 0.1 GB per million requests is 100 bytes stored per request. Not a product schema.</t>
        </is>
      </c>
    </row>
    <row r="20" ht="32" customHeight="1">
      <c r="A20" s="4" t="inlineStr">
        <is>
          <t>App vCPU-seconds per request</t>
        </is>
      </c>
      <c r="B20" s="7" t="n">
        <v>0.01</v>
      </c>
      <c r="C20" s="4" t="inlineStr">
        <is>
          <t>vCPU-seconds</t>
        </is>
      </c>
      <c r="D20" s="4" t="inlineStr">
        <is>
          <t>Finance assumption</t>
        </is>
      </c>
      <c r="E20" s="4" t="inlineStr">
        <is>
          <t>No measured CPU was given. 0.01 vCPU-second is 10 ms on one vCPU. At the defaults this still fits one 0.25 vCPU task at 60%.</t>
        </is>
      </c>
    </row>
    <row r="21" ht="32" customHeight="1">
      <c r="A21" s="4" t="inlineStr">
        <is>
          <t>DB vCPU-seconds per request</t>
        </is>
      </c>
      <c r="B21" s="7" t="n">
        <v>0.01</v>
      </c>
      <c r="C21" s="4" t="inlineStr">
        <is>
          <t>vCPU-seconds</t>
        </is>
      </c>
      <c r="D21" s="4" t="inlineStr">
        <is>
          <t>Finance assumption</t>
        </is>
      </c>
      <c r="E21" s="4" t="inlineStr">
        <is>
          <t>Same default, so the database is sized on its own CPU and not copied from the task size. Not a product requirement.</t>
        </is>
      </c>
    </row>
    <row r="22" ht="32" customHeight="1">
      <c r="A22" s="4" t="inlineStr">
        <is>
          <t>Connection hold seconds</t>
        </is>
      </c>
      <c r="B22" s="5" t="n">
        <v>1</v>
      </c>
      <c r="C22" s="4" t="inlineStr">
        <is>
          <t>seconds</t>
        </is>
      </c>
      <c r="D22" s="4" t="inlineStr">
        <is>
          <t>Finance assumption</t>
        </is>
      </c>
      <c r="E22" s="4" t="inlineStr">
        <is>
          <t>Each connection is assumed open for this long. Used for active-connection LCU and the RDS connection count.</t>
        </is>
      </c>
    </row>
    <row r="23" ht="32" customHeight="1">
      <c r="A23" s="4" t="inlineStr">
        <is>
          <t>NAT on</t>
        </is>
      </c>
      <c r="B23" s="5" t="n">
        <v>0</v>
      </c>
      <c r="C23" s="4" t="inlineStr">
        <is>
          <t>0 off, 1 on</t>
        </is>
      </c>
      <c r="D23" s="4" t="inlineStr">
        <is>
          <t>Finance assumption</t>
        </is>
      </c>
      <c r="E23" s="4" t="inlineStr">
        <is>
          <t>Defaults off. Off means NAT, and the private-subnet path, stay at $0. On adds one NAT gateway. It does not add a second service.</t>
        </is>
      </c>
    </row>
    <row r="24" ht="32" customHeight="1">
      <c r="A24" s="4" t="inlineStr">
        <is>
          <t>Task public IPv4</t>
        </is>
      </c>
      <c r="B24" s="5" t="n">
        <v>0</v>
      </c>
      <c r="C24" s="4" t="inlineStr">
        <is>
          <t>0 off, 1 on</t>
        </is>
      </c>
      <c r="D24" s="4" t="inlineStr">
        <is>
          <t>Finance assumption</t>
        </is>
      </c>
      <c r="E24" s="4" t="inlineStr">
        <is>
          <t>Defaults off so the floor keeps FIN-2026-10-02-01's two load-balancer addresses. Express Mode turns assignPublicIp on for the default public subnets, which would be one address per task. Turn this on to see that.</t>
        </is>
      </c>
    </row>
    <row r="26">
      <c r="A26" s="8" t="inlineStr">
        <is>
          <t>Range check</t>
        </is>
      </c>
    </row>
    <row r="27">
      <c r="A27" t="inlineStr">
        <is>
          <t>Four daily volumes</t>
        </is>
      </c>
      <c r="B27" s="9">
        <f>IF(OR(Users&lt;1000,Users&gt;10000000,Bots&lt;1000,Bots&gt;10000000,Offers&lt;1000,Offers&gt;10000000,Messages&lt;1000,Messages&gt;10000000),"Outside 1,000 to 10,000,000","In range")</f>
        <v/>
      </c>
      <c r="C27" s="2" t="inlineStr">
        <is>
          <t>Flags a typed volume outside the brief. The rungs themselves stay inside the range.</t>
        </is>
      </c>
    </row>
    <row r="29">
      <c r="A29" s="8" t="inlineStr">
        <is>
          <t>What stays $0 unless you turn NAT on</t>
        </is>
      </c>
    </row>
    <row r="30">
      <c r="A30" s="10" t="inlineStr">
        <is>
          <t>Multi-AZ</t>
        </is>
      </c>
      <c r="B30" s="41" t="n">
        <v>0</v>
      </c>
      <c r="C30" s="10" t="inlineStr">
        <is>
          <t>A later scale step, not the single-AZ base.</t>
        </is>
      </c>
      <c r="D30" s="42" t="n"/>
      <c r="E30" s="43" t="n"/>
    </row>
    <row r="31">
      <c r="A31" s="10" t="inlineStr">
        <is>
          <t>Read replicas</t>
        </is>
      </c>
      <c r="B31" s="41" t="n">
        <v>0</v>
      </c>
      <c r="C31" s="10" t="inlineStr">
        <is>
          <t>Same. Not added as a second database.</t>
        </is>
      </c>
      <c r="D31" s="42" t="n"/>
      <c r="E31" s="43" t="n"/>
    </row>
    <row r="32">
      <c r="A32" s="10" t="inlineStr">
        <is>
          <t>NAT gateway</t>
        </is>
      </c>
      <c r="B32" s="41" t="n">
        <v>0</v>
      </c>
      <c r="C32" s="10" t="inlineStr">
        <is>
          <t>Stays $0 while NAT on is 0. The Live sheet prices one gateway when you set it to 1.</t>
        </is>
      </c>
      <c r="D32" s="42" t="n"/>
      <c r="E32" s="43" t="n"/>
    </row>
    <row r="33">
      <c r="A33" s="10" t="inlineStr">
        <is>
          <t>S3</t>
        </is>
      </c>
      <c r="B33" s="41" t="n">
        <v>0</v>
      </c>
      <c r="C33" s="10" t="inlineStr">
        <is>
          <t>No artifact bucket in this step.</t>
        </is>
      </c>
      <c r="D33" s="42" t="n"/>
      <c r="E33" s="43" t="n"/>
    </row>
    <row r="34">
      <c r="A34" s="10" t="inlineStr">
        <is>
          <t>Cognito</t>
        </is>
      </c>
      <c r="B34" s="41" t="n">
        <v>0</v>
      </c>
      <c r="C34" s="10" t="inlineStr">
        <is>
          <t>Not a Step 2 deliverable.</t>
        </is>
      </c>
      <c r="D34" s="42" t="n"/>
      <c r="E34" s="43" t="n"/>
    </row>
    <row r="35">
      <c r="A35" s="10" t="inlineStr">
        <is>
          <t>Customer-managed KMS vault</t>
        </is>
      </c>
      <c r="B35" s="41" t="n">
        <v>0</v>
      </c>
      <c r="C35" s="10" t="inlineStr">
        <is>
          <t>Later maturity. Default encryption is not priced as a vault.</t>
        </is>
      </c>
      <c r="D35" s="42" t="n"/>
      <c r="E35" s="43" t="n"/>
    </row>
    <row r="36">
      <c r="A36" s="10" t="inlineStr">
        <is>
          <t>Paid APM and X-Ray</t>
        </is>
      </c>
      <c r="B36" s="41" t="n">
        <v>0</v>
      </c>
      <c r="C36" s="10" t="inlineStr">
        <is>
          <t>Excluded. CloudWatch default metrics stay inside the free tier until log GB exceeds 5.</t>
        </is>
      </c>
      <c r="D36" s="42" t="n"/>
      <c r="E36" s="43" t="n"/>
    </row>
  </sheetData>
  <autoFilter ref="A4:E24"/>
  <mergeCells count="11">
    <mergeCell ref="C33:E33"/>
    <mergeCell ref="C36:E36"/>
    <mergeCell ref="A29:E29"/>
    <mergeCell ref="C27:E27"/>
    <mergeCell ref="A26:E26"/>
    <mergeCell ref="A2:E2"/>
    <mergeCell ref="C31:E31"/>
    <mergeCell ref="C35:E35"/>
    <mergeCell ref="C30:E30"/>
    <mergeCell ref="C34:E34"/>
    <mergeCell ref="C32:E32"/>
  </mergeCells>
  <conditionalFormatting sqref="B27">
    <cfRule type="expression" priority="1" dxfId="0">
      <formula>ISNUMBER(SEARCH("Outside",B27))</formula>
    </cfRule>
    <cfRule type="expression" priority="2" dxfId="1">
      <formula>B27="In range"</formula>
    </cfRule>
  </conditionalFormatting>
  <dataValidations count="2">
    <dataValidation sqref="B5:B8" showDropDown="0" showInputMessage="0" showErrorMessage="0" allowBlank="0" errorTitle="Outside the brief range" error="Enter a whole number from 1,000 to 10,000,000." promptTitle="Daily volume" prompt="1,000 to 10,000,000" type="whole" operator="between">
      <formula1>1000</formula1>
      <formula2>10000000</formula2>
    </dataValidation>
    <dataValidation sqref="B23:B24" showDropDown="0" showInputMessage="0" showErrorMessage="0" allowBlank="0" type="list">
      <formula1>"0,1"</formula1>
    </dataValidation>
  </dataValidations>
  <pageMargins left="0.5" right="0.5" top="0.75" bottom="0.5" header="0.5" footer="0.5"/>
  <pageSetup orientation="landscape" paperSize="3" fitToHeight="1" fitToWidth="1"/>
  <headerFooter>
    <oddHeader>&amp;LFIN-2026-10-02-02 inputs</oddHeader>
    <oddFooter>&amp;LEstimate only. No provision. PoC $0.&amp;RPage &amp;P</oddFooter>
    <evenHeader/>
    <evenFooter/>
    <firstHeader/>
    <firstFooter/>
  </headerFooter>
</worksheet>
</file>

<file path=xl/worksheets/sheet2.xml><?xml version="1.0" encoding="utf-8"?>
<worksheet xmlns="http://schemas.openxmlformats.org/spreadsheetml/2006/main">
  <sheetPr>
    <tabColor rgb="001F4E79"/>
    <outlinePr summaryBelow="1" summaryRight="1"/>
    <pageSetUpPr fitToPage="1"/>
  </sheetPr>
  <dimension ref="A1:C44"/>
  <sheetViews>
    <sheetView showGridLines="0" workbookViewId="0">
      <pane ySplit="4" topLeftCell="A5" activePane="bottomLeft" state="frozen"/>
      <selection pane="bottomLeft" activeCell="A1" sqref="A1"/>
    </sheetView>
  </sheetViews>
  <sheetFormatPr baseColWidth="8" defaultRowHeight="15"/>
  <cols>
    <col width="62" customWidth="1" min="1" max="1"/>
    <col width="62" customWidth="1" min="2" max="2"/>
    <col width="88" customWidth="1" min="3" max="3"/>
  </cols>
  <sheetData>
    <row r="1">
      <c r="A1" s="1" t="inlineStr">
        <is>
          <t>Live case</t>
        </is>
      </c>
    </row>
    <row r="2" ht="32" customHeight="1">
      <c r="A2" s="2" t="inlineStr">
        <is>
          <t>This case follows the yellow cells on Inputs. Change those cells and this sheet moves. Every dollar is a formula. Aurora is an alternate column and is not in the total. Multi-AZ, replicas, S3, Cognito, KMS vault, and paid APM stay at $0. NAT is $0 until Inputs NAT on = 1.</t>
        </is>
      </c>
    </row>
    <row r="4">
      <c r="A4" s="13" t="inlineStr">
        <is>
          <t>Resource or line</t>
        </is>
      </c>
      <c r="B4" s="13" t="inlineStr">
        <is>
          <t>Value</t>
        </is>
      </c>
      <c r="C4" s="13" t="inlineStr">
        <is>
          <t>Unit or note</t>
        </is>
      </c>
    </row>
    <row r="5" ht="30" customHeight="1">
      <c r="A5" s="4" t="inlineStr">
        <is>
          <t>Daily requests</t>
        </is>
      </c>
      <c r="B5" s="44">
        <f>(Users*ReqPerUser+Bots*ReqPerBot+Offers*ReqPerOffer+Messages*ReqPerMessage)</f>
        <v/>
      </c>
      <c r="C5" s="4" t="inlineStr">
        <is>
          <t>Sum of the four volumes times their multipliers.</t>
        </is>
      </c>
    </row>
    <row r="6" ht="30" customHeight="1">
      <c r="A6" s="4" t="inlineStr">
        <is>
          <t>Monthly requests</t>
        </is>
      </c>
      <c r="B6" s="44">
        <f>B5*Hours/24</f>
        <v/>
      </c>
      <c r="C6" s="4" t="inlineStr">
        <is>
          <t>Daily requests times 730/24, so the month matches the 730-hour rates.</t>
        </is>
      </c>
    </row>
    <row r="7" ht="30" customHeight="1">
      <c r="A7" s="4" t="inlineStr">
        <is>
          <t>Average requests per second</t>
        </is>
      </c>
      <c r="B7" s="44">
        <f>B5/86400</f>
        <v/>
      </c>
      <c r="C7" s="4" t="inlineStr">
        <is>
          <t>Daily requests divided by 86,400.</t>
        </is>
      </c>
    </row>
    <row r="8" ht="30" customHeight="1">
      <c r="A8" s="4" t="inlineStr">
        <is>
          <t>Peak requests per second</t>
        </is>
      </c>
      <c r="B8" s="44">
        <f>B7*Peak</f>
        <v/>
      </c>
      <c r="C8" s="4" t="inlineStr">
        <is>
          <t>Average times the peak-to-average finance assumption.</t>
        </is>
      </c>
    </row>
    <row r="9" ht="30" customHeight="1">
      <c r="A9" s="4" t="inlineStr">
        <is>
          <t>App vCPU required at the 60% target</t>
        </is>
      </c>
      <c r="B9" s="44">
        <f>B8*AppVcpuS/CpuTarget</f>
        <v/>
      </c>
      <c r="C9" s="4" t="inlineStr">
        <is>
          <t>Peak requests per second times vCPU-seconds per request, divided by 0.60.</t>
        </is>
      </c>
    </row>
    <row r="10" ht="30" customHeight="1">
      <c r="A10" s="4" t="inlineStr">
        <is>
          <t>DB vCPU required at the 60% target</t>
        </is>
      </c>
      <c r="B10" s="44">
        <f>B8*DbVcpuS/CpuTarget</f>
        <v/>
      </c>
      <c r="C10" s="4" t="inlineStr">
        <is>
          <t>Same shape, using the database vCPU-seconds assumption.</t>
        </is>
      </c>
    </row>
    <row r="11" ht="30" customHeight="1">
      <c r="A11" s="4" t="inlineStr">
        <is>
          <t>Task vCPU</t>
        </is>
      </c>
      <c r="B11" s="15">
        <f>IF(MAX(1,ROUNDUP(B9/0.25,0))&lt;=TaskQuota,0.25,IF(MAX(1,ROUNDUP(B9/0.5,0))&lt;=TaskQuota,0.5,IF(MAX(1,ROUNDUP(B9/1,0))&lt;=TaskQuota,1,IF(MAX(1,ROUNDUP(B9/2,0))&lt;=TaskQuota,2,IF(MAX(1,ROUNDUP(B9/4,0))&lt;=TaskQuota,4,IF(MAX(1,ROUNDUP(B9/8,0))&lt;=TaskQuota,8,IF(MAX(1,ROUNDUP(B9/16,0))&lt;=TaskQuota,16,32)))))))</f>
        <v/>
      </c>
      <c r="C11" s="4" t="inlineStr">
        <is>
          <t>Smallest Fargate vCPU whose task count stays within the 5,000 tasks-per-service quota. 0.25 until that quota binds. 32 vCPU is the maximum task size.</t>
        </is>
      </c>
    </row>
    <row r="12" ht="30" customHeight="1">
      <c r="A12" s="4" t="inlineStr">
        <is>
          <t>Tasks</t>
        </is>
      </c>
      <c r="B12" s="16">
        <f>MAX(1,ROUNDUP(B9/B11,0))</f>
        <v/>
      </c>
      <c r="C12" s="4" t="inlineStr">
        <is>
          <t>At least one task, which is the Express minimum.</t>
        </is>
      </c>
    </row>
    <row r="13" ht="30" customHeight="1">
      <c r="A13" s="4" t="inlineStr">
        <is>
          <t>Memory GB per task</t>
        </is>
      </c>
      <c r="B13" s="15">
        <f>IF(B11=0.25,0.5,IF(B11=0.5,1,IF(B11=1,2,IF(B11=2,4,IF(B11=4,8,IF(B11=8,16,IF(B11=16,32,60)))))))</f>
        <v/>
      </c>
      <c r="C13" s="4" t="inlineStr">
        <is>
          <t>Linux minimum memory for that vCPU. 0.25 vCPU uses 0.5 GB, which is the 512 MiB minimum.</t>
        </is>
      </c>
    </row>
    <row r="14" ht="30" customHeight="1">
      <c r="A14" s="4" t="inlineStr">
        <is>
          <t>Total vCPU</t>
        </is>
      </c>
      <c r="B14" s="15">
        <f>B12*B11</f>
        <v/>
      </c>
      <c r="C14" s="4" t="inlineStr">
        <is>
          <t>Tasks times vCPU per task.</t>
        </is>
      </c>
    </row>
    <row r="15" ht="30" customHeight="1">
      <c r="A15" s="4" t="inlineStr">
        <is>
          <t>Total memory GB</t>
        </is>
      </c>
      <c r="B15" s="15">
        <f>B12*B13</f>
        <v/>
      </c>
      <c r="C15" s="4" t="inlineStr">
        <is>
          <t>Tasks times memory per task.</t>
        </is>
      </c>
    </row>
    <row r="16" ht="30" customHeight="1">
      <c r="A16" s="4" t="inlineStr">
        <is>
          <t>New-connection LCU</t>
        </is>
      </c>
      <c r="B16" s="44">
        <f>B8/ReqPerConn/25</f>
        <v/>
      </c>
      <c r="C16" s="4" t="inlineStr">
        <is>
          <t>Peak requests per second, divided by requests per connection, divided by 25.</t>
        </is>
      </c>
    </row>
    <row r="17" ht="30" customHeight="1">
      <c r="A17" s="4" t="inlineStr">
        <is>
          <t>Active-connection LCU</t>
        </is>
      </c>
      <c r="B17" s="44">
        <f>(B8/ReqPerConn)*HoldS/3000</f>
        <v/>
      </c>
      <c r="C17" s="4" t="inlineStr">
        <is>
          <t>Concurrent connections divided by 3,000.</t>
        </is>
      </c>
    </row>
    <row r="18" ht="30" customHeight="1">
      <c r="A18" s="4" t="inlineStr">
        <is>
          <t>Processed-bytes LCU</t>
        </is>
      </c>
      <c r="B18" s="44">
        <f>B8*3600*ReqKB*(1+RespMult)/1024/1024</f>
        <v/>
      </c>
      <c r="C18" s="4" t="inlineStr">
        <is>
          <t>GB per hour. One LCU is 1 GB per hour for container targets.</t>
        </is>
      </c>
    </row>
    <row r="19" ht="30" customHeight="1">
      <c r="A19" s="4" t="inlineStr">
        <is>
          <t>ALB LCU billed</t>
        </is>
      </c>
      <c r="B19" s="45">
        <f>MAX(MinLcu,B16,B17,B18)</f>
        <v/>
      </c>
      <c r="C19" s="4" t="inlineStr">
        <is>
          <t>The largest dimension, and at least the FIN-2026-10-02-01 floor of 1 LCU.</t>
        </is>
      </c>
    </row>
    <row r="20" ht="30" customHeight="1">
      <c r="A20" s="4" t="inlineStr">
        <is>
          <t>Public IPv4</t>
        </is>
      </c>
      <c r="B20" s="15">
        <f>AlbIpv4+IF(OR(NatOn=1,TaskPublicIp=0),0,B12)</f>
        <v/>
      </c>
      <c r="C20" s="4" t="inlineStr">
        <is>
          <t>Two on the load balancer. Plus one per task only if task public IPv4 is on and NAT is off.</t>
        </is>
      </c>
    </row>
    <row r="21" ht="30" customHeight="1">
      <c r="A21" s="4" t="inlineStr">
        <is>
          <t>Connections</t>
        </is>
      </c>
      <c r="B21" s="15">
        <f>MAX(1,(B8/ReqPerConn)*HoldS)</f>
        <v/>
      </c>
      <c r="C21" s="4" t="inlineStr">
        <is>
          <t>Peak new connections times hold seconds. At least 1.</t>
        </is>
      </c>
    </row>
    <row r="22" ht="30" customHeight="1">
      <c r="A22" s="4" t="inlineStr">
        <is>
          <t>RDS class</t>
        </is>
      </c>
      <c r="B22" s="10">
        <f t="array" ref="B22">IFERROR(INDEX(ClassNames,MATCH(1,(ClassUse&gt;=B10)*(ClassCap&gt;=B21),0)),"NO SINGLE-AZ CLASS")</f>
        <v/>
      </c>
      <c r="C22" s="4" t="inlineStr">
        <is>
          <t>Cheapest current-generation Single-AZ PostgreSQL class whose usable vCPU and connection cap both clear the assumption.</t>
        </is>
      </c>
    </row>
    <row r="23" ht="30" customHeight="1">
      <c r="A23" s="4" t="inlineStr">
        <is>
          <t>RDS USD per hour</t>
        </is>
      </c>
      <c r="B23" s="46">
        <f t="array" ref="B23">IFERROR(INDEX(ClassPrices,MATCH(1,(ClassUse&gt;=B10)*(ClassCap&gt;=B21),0)),INDEX(ClassPrices,MATCH(MAX(ClassVcpu),ClassVcpu,0)))</f>
        <v/>
      </c>
      <c r="C23" s="4" t="inlineStr">
        <is>
          <t>Hourly price of that class. If none covers, this is the largest-vCPU class on the list, and the flag says it does not cover.</t>
        </is>
      </c>
    </row>
    <row r="24" ht="30" customHeight="1">
      <c r="A24" s="4" t="inlineStr">
        <is>
          <t>RDS storage GB</t>
        </is>
      </c>
      <c r="B24" s="44">
        <f>MAX(DbFloor,B6/1000000*DbPerM)</f>
        <v/>
      </c>
      <c r="C24" s="4" t="inlineStr">
        <is>
          <t>At least the 20 GB floor.</t>
        </is>
      </c>
    </row>
    <row r="25" ht="30" customHeight="1">
      <c r="A25" s="4" t="inlineStr">
        <is>
          <t>CloudWatch GB</t>
        </is>
      </c>
      <c r="B25" s="44">
        <f>B6/1000000*LogPerM</f>
        <v/>
      </c>
      <c r="C25" s="4" t="inlineStr">
        <is>
          <t>Log GB per million requests times monthly requests.</t>
        </is>
      </c>
    </row>
    <row r="26" ht="30" customHeight="1">
      <c r="A26" s="4" t="inlineStr">
        <is>
          <t>Data-transfer GB</t>
        </is>
      </c>
      <c r="B26" s="44">
        <f>B6*ReqKB*(1+RespMult)/1024/1024</f>
        <v/>
      </c>
      <c r="C26" s="4" t="inlineStr">
        <is>
          <t>Request plus response KB, converted to GB for the month.</t>
        </is>
      </c>
    </row>
    <row r="27" ht="30" customHeight="1">
      <c r="A27" s="4" t="inlineStr">
        <is>
          <t>Secrets Manager secrets</t>
        </is>
      </c>
      <c r="B27" s="16">
        <f>SecretCount</f>
        <v/>
      </c>
      <c r="C27" s="4" t="inlineStr">
        <is>
          <t>Fixed at 2. Not a second service.</t>
        </is>
      </c>
    </row>
    <row r="28" ht="30" customHeight="1">
      <c r="A28" s="4" t="inlineStr">
        <is>
          <t>Fargate USD</t>
        </is>
      </c>
      <c r="B28" s="41">
        <f>B12*(B11*FargateCpuRate+B13*FargateMemRate)*Hours*3600</f>
        <v/>
      </c>
      <c r="C28" s="4" t="inlineStr">
        <is>
          <t>Tasks times (vCPU rate + memory rate) times 730 hours times 3,600 seconds.</t>
        </is>
      </c>
    </row>
    <row r="29" ht="30" customHeight="1">
      <c r="A29" s="4" t="inlineStr">
        <is>
          <t>ALB hours USD</t>
        </is>
      </c>
      <c r="B29" s="41">
        <f>Hours*AlbHourly</f>
        <v/>
      </c>
      <c r="C29" s="4" t="inlineStr">
        <is>
          <t>One load balancer, always on.</t>
        </is>
      </c>
    </row>
    <row r="30" ht="30" customHeight="1">
      <c r="A30" s="4" t="inlineStr">
        <is>
          <t>ALB LCU USD</t>
        </is>
      </c>
      <c r="B30" s="41">
        <f>B19*LcuHourly*Hours</f>
        <v/>
      </c>
      <c r="C30" s="4" t="inlineStr">
        <is>
          <t>Billed LCU times $0.008 times 730.</t>
        </is>
      </c>
    </row>
    <row r="31" ht="30" customHeight="1">
      <c r="A31" s="4" t="inlineStr">
        <is>
          <t>Public IPv4 USD</t>
        </is>
      </c>
      <c r="B31" s="41">
        <f>B20*Ipv4Hourly*Hours</f>
        <v/>
      </c>
      <c r="C31" s="4" t="inlineStr">
        <is>
          <t>Addresses times $0.005 times 730.</t>
        </is>
      </c>
    </row>
    <row r="32" ht="30" customHeight="1">
      <c r="A32" s="4" t="inlineStr">
        <is>
          <t>RDS compute USD</t>
        </is>
      </c>
      <c r="B32" s="41">
        <f>B23*Hours</f>
        <v/>
      </c>
      <c r="C32" s="4" t="inlineStr">
        <is>
          <t>Chosen class, Single-AZ, on-demand, 730 hours. No T4g CPU-credit overage.</t>
        </is>
      </c>
    </row>
    <row r="33" ht="30" customHeight="1">
      <c r="A33" s="4" t="inlineStr">
        <is>
          <t>RDS storage USD</t>
        </is>
      </c>
      <c r="B33" s="41">
        <f>B24*Gp3Rate</f>
        <v/>
      </c>
      <c r="C33" s="4" t="inlineStr">
        <is>
          <t>GB times $0.115. No extra gp3 throughput.</t>
        </is>
      </c>
    </row>
    <row r="34" ht="30" customHeight="1">
      <c r="A34" s="4" t="inlineStr">
        <is>
          <t>Secrets Manager USD</t>
        </is>
      </c>
      <c r="B34" s="41">
        <f>SecretCount*SecretMonthly+SecretCalls/10000*SecretApiRate</f>
        <v/>
      </c>
      <c r="C34" s="4" t="inlineStr">
        <is>
          <t>Two secrets at $0.40 plus 1,000 API calls.</t>
        </is>
      </c>
    </row>
    <row r="35" ht="30" customHeight="1">
      <c r="A35" s="4" t="inlineStr">
        <is>
          <t>CloudWatch USD</t>
        </is>
      </c>
      <c r="B35" s="41">
        <f>MAX(0,B25-CwFreeGb)*(CwIngest+CwStore)</f>
        <v/>
      </c>
      <c r="C35" s="4" t="inlineStr">
        <is>
          <t>$0 while log GB is inside 5. Above that, ingest plus archive on the excess only.</t>
        </is>
      </c>
    </row>
    <row r="36" ht="30" customHeight="1">
      <c r="A36" s="4" t="inlineStr">
        <is>
          <t>Data transfer USD</t>
        </is>
      </c>
      <c r="B36" s="41">
        <f>MAX(0,B26-XferFreeGb)*XferRate</f>
        <v/>
      </c>
      <c r="C36" s="4" t="inlineStr">
        <is>
          <t>GB above 100, times the regional $0.01 rate. See Rates for why this is not an internet-egress tier.</t>
        </is>
      </c>
    </row>
    <row r="37" ht="30" customHeight="1">
      <c r="A37" s="4" t="inlineStr">
        <is>
          <t>NAT USD</t>
        </is>
      </c>
      <c r="B37" s="41">
        <f>IF(NatOn=1,Hours*NatHourly+B26*NatPerGb,0)</f>
        <v/>
      </c>
      <c r="C37" s="4" t="inlineStr">
        <is>
          <t>$0 while NAT is off. On: 730 hours at $0.045 plus $0.045 per data-transfer GB.</t>
        </is>
      </c>
    </row>
    <row r="38" ht="30" customHeight="1">
      <c r="A38" s="4" t="inlineStr">
        <is>
          <t>Multi-AZ, replicas, S3, Cognito, KMS vault, paid APM USD</t>
        </is>
      </c>
      <c r="B38" s="41">
        <f>0</f>
        <v/>
      </c>
      <c r="C38" s="4" t="inlineStr">
        <is>
          <t>Held at $0. Reasons are on the Inputs sheet. This is not a second architecture.</t>
        </is>
      </c>
    </row>
    <row r="39" ht="30" customHeight="1">
      <c r="A39" s="6" t="inlineStr">
        <is>
          <t>Monthly total USD</t>
        </is>
      </c>
      <c r="B39" s="47">
        <f>B28+B29+B30+B31+B32+B33+B34+B35+B36+B37+B38</f>
        <v/>
      </c>
      <c r="C39" s="4" t="inlineStr">
        <is>
          <t>Exact sum of the lines above. Aurora is not included.</t>
        </is>
      </c>
    </row>
    <row r="40" ht="30" customHeight="1">
      <c r="A40" s="6" t="inlineStr">
        <is>
          <t>Monthly total rounded to the cent</t>
        </is>
      </c>
      <c r="B40" s="48">
        <f>ROUND(B39,2)</f>
        <v/>
      </c>
      <c r="C40" s="4" t="inlineStr">
        <is>
          <t>Round the exact sum. Do not add already-rounded lines. That is the penny in FIN-2026-10-02-01.</t>
        </is>
      </c>
    </row>
    <row r="41" ht="30" customHeight="1">
      <c r="A41" s="6" t="inlineStr">
        <is>
          <t>Shape</t>
        </is>
      </c>
      <c r="B41" s="21">
        <f>IF(B9&gt;TaskQuota*FargateMaxVcpu,"Larger shape",IF(B12&gt;TaskQuota,"Larger shape",IF(B11&gt;0.25,"One service, task size raised to stay under the tasks-per-service quota",IF(B12&gt;ExpressMax,"One service, raise the Express max of 20 tasks","Fits one ECS Express service"))))</f>
        <v/>
      </c>
      <c r="C41" s="4" t="inlineStr">
        <is>
          <t>Larger shape means past 5,000 tasks or past 5,000 times 32 vCPU. The row still prices the resources. It does not add a second service.</t>
        </is>
      </c>
    </row>
    <row r="42" ht="30" customHeight="1">
      <c r="A42" s="4" t="inlineStr">
        <is>
          <t>RDS cover</t>
        </is>
      </c>
      <c r="B42" s="10">
        <f>IF(B10&gt;MAX(ClassUse),"No single-AZ class covers the assumed CPU",IF(B21&gt;MAX(ClassCap),"No single-AZ class covers the assumed connections","Covered"))</f>
        <v/>
      </c>
      <c r="C42" s="4" t="inlineStr">
        <is>
          <t>Uses the usable-vCPU and connection-cap columns on Classes.</t>
        </is>
      </c>
    </row>
    <row r="43" ht="30" customHeight="1">
      <c r="A43" s="4" t="inlineStr">
        <is>
          <t>Fargate vCPU quota</t>
        </is>
      </c>
      <c r="B43" s="10">
        <f>IF(B14&gt;FargateVcpuQuota,"Above the default quota of 6 vCPU, which AWS marks adjustable","Inside the default quota of 6 vCPU")</f>
        <v/>
      </c>
      <c r="C43" s="4" t="inlineStr">
        <is>
          <t>An account quota, not the hard stop. The hard stop is the shape row.</t>
        </is>
      </c>
    </row>
    <row r="44" ht="30" customHeight="1">
      <c r="A44" s="4" t="inlineStr">
        <is>
          <t>Aurora alternate USD</t>
        </is>
      </c>
      <c r="B44" s="49">
        <f>MAX(0.5,B10/AcuPerVcpu)*AuroraAcu*Hours+B24*AuroraGb</f>
        <v/>
      </c>
      <c r="C44" s="4" t="inlineStr">
        <is>
          <t>Not in the total. 0.5 ACU floor, or assumed vCPU divided by the 1 ACU = 1 vCPU finance assumption, plus storage at $0.10. I/O is not estimated.</t>
        </is>
      </c>
    </row>
  </sheetData>
  <mergeCells count="1">
    <mergeCell ref="A2:C2"/>
  </mergeCells>
  <pageMargins left="0.5" right="0.5" top="0.75" bottom="0.5" header="0.5" footer="0.5"/>
  <pageSetup orientation="landscape" paperSize="3" fitToHeight="1" fitToWidth="1"/>
  <headerFooter>
    <oddHeader>&amp;LLive case</oddHeader>
    <oddFooter>&amp;LEstimate only. No provision. PoC $0.&amp;RPage &amp;P</oddFooter>
    <evenHeader/>
    <evenFooter/>
    <firstHeader/>
    <firstFooter/>
  </headerFooter>
</worksheet>
</file>

<file path=xl/worksheets/sheet3.xml><?xml version="1.0" encoding="utf-8"?>
<worksheet xmlns="http://schemas.openxmlformats.org/spreadsheetml/2006/main">
  <sheetPr>
    <tabColor rgb="001F4E79"/>
    <outlinePr summaryBelow="1" summaryRight="1"/>
    <pageSetUpPr fitToPage="1"/>
  </sheetPr>
  <dimension ref="A1:AN29"/>
  <sheetViews>
    <sheetView showGridLines="0" zoomScale="9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22"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42" customWidth="1" min="36" max="36"/>
    <col width="42" customWidth="1" min="37" max="37"/>
    <col width="42" customWidth="1" min="38" max="38"/>
    <col width="18" customWidth="1" min="39" max="39"/>
    <col width="18" customWidth="1" min="40" max="40"/>
  </cols>
  <sheetData>
    <row r="1">
      <c r="A1" s="1" t="inlineStr">
        <is>
          <t>Rungs</t>
        </is>
      </c>
    </row>
    <row r="2" ht="32" customHeight="1">
      <c r="A2" s="2" t="inlineStr">
        <is>
          <t>Each row is a formula case. Combined rows set all four volumes to the rung. Alone rows set one volume to the rung and hold the other three at 1,000. Multipliers, rates, and the NAT switch still come from Inputs and Rates, so editing those cells moves every rung. A row marked Larger shape prices the resources and does not invent a second service.</t>
        </is>
      </c>
    </row>
    <row r="4" ht="36" customHeight="1">
      <c r="A4" s="3" t="inlineStr">
        <is>
          <t>Case</t>
        </is>
      </c>
      <c r="B4" s="3" t="inlineStr">
        <is>
          <t>Daily users</t>
        </is>
      </c>
      <c r="C4" s="3" t="inlineStr">
        <is>
          <t>Daily bots</t>
        </is>
      </c>
      <c r="D4" s="3" t="inlineStr">
        <is>
          <t>Daily offers</t>
        </is>
      </c>
      <c r="E4" s="3" t="inlineStr">
        <is>
          <t>Daily messages</t>
        </is>
      </c>
      <c r="F4" s="3" t="inlineStr">
        <is>
          <t>Daily requests</t>
        </is>
      </c>
      <c r="G4" s="3" t="inlineStr">
        <is>
          <t>Peak requests per second</t>
        </is>
      </c>
      <c r="H4" s="3" t="inlineStr">
        <is>
          <t>App vCPU at 60%</t>
        </is>
      </c>
      <c r="I4" s="3" t="inlineStr">
        <is>
          <t>DB vCPU at 60%</t>
        </is>
      </c>
      <c r="J4" s="3" t="inlineStr">
        <is>
          <t>Task vCPU</t>
        </is>
      </c>
      <c r="K4" s="3" t="inlineStr">
        <is>
          <t>Tasks</t>
        </is>
      </c>
      <c r="L4" s="3" t="inlineStr">
        <is>
          <t>Memory GB per task</t>
        </is>
      </c>
      <c r="M4" s="3" t="inlineStr">
        <is>
          <t>Total vCPU</t>
        </is>
      </c>
      <c r="N4" s="3" t="inlineStr">
        <is>
          <t>Total memory GB</t>
        </is>
      </c>
      <c r="O4" s="3" t="inlineStr">
        <is>
          <t>ALB LCU</t>
        </is>
      </c>
      <c r="P4" s="3" t="inlineStr">
        <is>
          <t>Public IPv4</t>
        </is>
      </c>
      <c r="Q4" s="3" t="inlineStr">
        <is>
          <t>Connections</t>
        </is>
      </c>
      <c r="R4" s="3" t="inlineStr">
        <is>
          <t>RDS class</t>
        </is>
      </c>
      <c r="S4" s="3" t="inlineStr">
        <is>
          <t>RDS USD per hour</t>
        </is>
      </c>
      <c r="T4" s="3" t="inlineStr">
        <is>
          <t>Storage GB</t>
        </is>
      </c>
      <c r="U4" s="3" t="inlineStr">
        <is>
          <t>CloudWatch GB</t>
        </is>
      </c>
      <c r="V4" s="3" t="inlineStr">
        <is>
          <t>Data-transfer GB</t>
        </is>
      </c>
      <c r="W4" s="3" t="inlineStr">
        <is>
          <t>Fargate USD</t>
        </is>
      </c>
      <c r="X4" s="3" t="inlineStr">
        <is>
          <t>ALB hours USD</t>
        </is>
      </c>
      <c r="Y4" s="3" t="inlineStr">
        <is>
          <t>LCU USD</t>
        </is>
      </c>
      <c r="Z4" s="3" t="inlineStr">
        <is>
          <t>IPv4 USD</t>
        </is>
      </c>
      <c r="AA4" s="3" t="inlineStr">
        <is>
          <t>RDS USD</t>
        </is>
      </c>
      <c r="AB4" s="3" t="inlineStr">
        <is>
          <t>Storage USD</t>
        </is>
      </c>
      <c r="AC4" s="3" t="inlineStr">
        <is>
          <t>Secrets USD</t>
        </is>
      </c>
      <c r="AD4" s="3" t="inlineStr">
        <is>
          <t>CloudWatch USD</t>
        </is>
      </c>
      <c r="AE4" s="3" t="inlineStr">
        <is>
          <t>Data transfer USD</t>
        </is>
      </c>
      <c r="AF4" s="3" t="inlineStr">
        <is>
          <t>NAT USD</t>
        </is>
      </c>
      <c r="AG4" s="3" t="inlineStr">
        <is>
          <t>Held at zero USD</t>
        </is>
      </c>
      <c r="AH4" s="3" t="inlineStr">
        <is>
          <t>Total USD</t>
        </is>
      </c>
      <c r="AI4" s="3" t="inlineStr">
        <is>
          <t>Total rounded USD</t>
        </is>
      </c>
      <c r="AJ4" s="3" t="inlineStr">
        <is>
          <t>Shape</t>
        </is>
      </c>
      <c r="AK4" s="3" t="inlineStr">
        <is>
          <t>RDS cover</t>
        </is>
      </c>
      <c r="AL4" s="3" t="inlineStr">
        <is>
          <t>Fargate vCPU quota</t>
        </is>
      </c>
      <c r="AM4" s="3" t="inlineStr">
        <is>
          <t>Volume range</t>
        </is>
      </c>
      <c r="AN4" s="3" t="inlineStr">
        <is>
          <t>Aurora alternate USD</t>
        </is>
      </c>
    </row>
    <row r="5" ht="22" customHeight="1">
      <c r="A5" s="4" t="inlineStr">
        <is>
          <t>All four at 1,000</t>
        </is>
      </c>
      <c r="B5" s="23" t="n">
        <v>1000</v>
      </c>
      <c r="C5" s="23" t="n">
        <v>1000</v>
      </c>
      <c r="D5" s="23" t="n">
        <v>1000</v>
      </c>
      <c r="E5" s="23" t="n">
        <v>1000</v>
      </c>
      <c r="F5" s="50">
        <f>B5*ReqPerUser+C5*ReqPerBot+D5*ReqPerOffer+E5*ReqPerMessage</f>
        <v/>
      </c>
      <c r="G5" s="50">
        <f>F5/86400*Peak</f>
        <v/>
      </c>
      <c r="H5" s="50">
        <f>G5*AppVcpuS/CpuTarget</f>
        <v/>
      </c>
      <c r="I5" s="50">
        <f>G5*DbVcpuS/CpuTarget</f>
        <v/>
      </c>
      <c r="J5" s="25">
        <f>IF(MAX(1,ROUNDUP(H5/0.25,0))&lt;=TaskQuota,0.25,IF(MAX(1,ROUNDUP(H5/0.5,0))&lt;=TaskQuota,0.5,IF(MAX(1,ROUNDUP(H5/1,0))&lt;=TaskQuota,1,IF(MAX(1,ROUNDUP(H5/2,0))&lt;=TaskQuota,2,IF(MAX(1,ROUNDUP(H5/4,0))&lt;=TaskQuota,4,IF(MAX(1,ROUNDUP(H5/8,0))&lt;=TaskQuota,8,IF(MAX(1,ROUNDUP(H5/16,0))&lt;=TaskQuota,16,32)))))))</f>
        <v/>
      </c>
      <c r="K5" s="26">
        <f>MAX(1,ROUNDUP(H5/J5,0))</f>
        <v/>
      </c>
      <c r="L5" s="25">
        <f>IF(J5=0.25,0.5,IF(J5=0.5,1,IF(J5=1,2,IF(J5=2,4,IF(J5=4,8,IF(J5=8,16,IF(J5=16,32,60)))))))</f>
        <v/>
      </c>
      <c r="M5" s="50">
        <f>K5*J5</f>
        <v/>
      </c>
      <c r="N5" s="50">
        <f>K5*L5</f>
        <v/>
      </c>
      <c r="O5" s="50">
        <f>MAX(MinLcu,G5/ReqPerConn/25,(G5/ReqPerConn)*HoldS/3000,G5*3600*ReqKB*(1+RespMult)/1024/1024)</f>
        <v/>
      </c>
      <c r="P5" s="25">
        <f>AlbIpv4+IF(OR(NatOn=1,TaskPublicIp=0),0,K5)</f>
        <v/>
      </c>
      <c r="Q5" s="50">
        <f>MAX(1,(G5/ReqPerConn)*HoldS)</f>
        <v/>
      </c>
      <c r="R5" s="4">
        <f t="array" ref="R5">IFERROR(INDEX(ClassNames,MATCH(1,(ClassUse&gt;=I5)*(ClassCap&gt;=Q5),0)),"NO SINGLE-AZ CLASS")</f>
        <v/>
      </c>
      <c r="S5" s="51">
        <f t="array" ref="S5">IFERROR(INDEX(ClassPrices,MATCH(1,(ClassUse&gt;=I5)*(ClassCap&gt;=Q5),0)),INDEX(ClassPrices,MATCH(MAX(ClassVcpu),ClassVcpu,0)))</f>
        <v/>
      </c>
      <c r="T5" s="50">
        <f>MAX(DbFloor,F5*Hours/24/1000000*DbPerM)</f>
        <v/>
      </c>
      <c r="U5" s="50">
        <f>F5*Hours/24/1000000*LogPerM</f>
        <v/>
      </c>
      <c r="V5" s="50">
        <f>F5*Hours/24*ReqKB*(1+RespMult)/1024/1024</f>
        <v/>
      </c>
      <c r="W5" s="52">
        <f>K5*(J5*FargateCpuRate+L5*FargateMemRate)*Hours*3600</f>
        <v/>
      </c>
      <c r="X5" s="52">
        <f>Hours*AlbHourly</f>
        <v/>
      </c>
      <c r="Y5" s="52">
        <f>O5*LcuHourly*Hours</f>
        <v/>
      </c>
      <c r="Z5" s="52">
        <f>P5*Ipv4Hourly*Hours</f>
        <v/>
      </c>
      <c r="AA5" s="52">
        <f>S5*Hours</f>
        <v/>
      </c>
      <c r="AB5" s="52">
        <f>T5*Gp3Rate</f>
        <v/>
      </c>
      <c r="AC5" s="52">
        <f>SecretCount*SecretMonthly+SecretCalls/10000*SecretApiRate</f>
        <v/>
      </c>
      <c r="AD5" s="52">
        <f>MAX(0,U5-CwFreeGb)*(CwIngest+CwStore)</f>
        <v/>
      </c>
      <c r="AE5" s="52">
        <f>MAX(0,V5-XferFreeGb)*XferRate</f>
        <v/>
      </c>
      <c r="AF5" s="52">
        <f>IF(NatOn=1,Hours*NatHourly+V5*NatPerGb,0)</f>
        <v/>
      </c>
      <c r="AG5" s="52">
        <f>0</f>
        <v/>
      </c>
      <c r="AH5" s="53">
        <f>W5+X5+Y5+Z5+AA5+AB5+AC5+AD5+AE5+AF5+AG5</f>
        <v/>
      </c>
      <c r="AI5" s="52">
        <f>ROUND(AH5,2)</f>
        <v/>
      </c>
      <c r="AJ5" s="4">
        <f>IF(H5&gt;TaskQuota*FargateMaxVcpu,"Larger shape",IF(K5&gt;TaskQuota,"Larger shape",IF(J5&gt;0.25,"One service, task size raised to stay under the tasks-per-service quota",IF(K5&gt;ExpressMax,"One service, raise the Express max of 20 tasks","Fits one ECS Express service"))))</f>
        <v/>
      </c>
      <c r="AK5" s="4">
        <f>IF(I5&gt;MAX(ClassUse),"No single-AZ class covers the assumed CPU",IF(Q5&gt;MAX(ClassCap),"No single-AZ class covers the assumed connections","Covered"))</f>
        <v/>
      </c>
      <c r="AL5" s="4">
        <f>IF(M5&gt;FargateVcpuQuota,"Above the default quota of 6 vCPU, which AWS marks adjustable","Inside the default quota of 6 vCPU")</f>
        <v/>
      </c>
      <c r="AM5" s="4">
        <f>IF(OR(B5&lt;1000,B5&gt;10000000,C5&lt;1000,C5&gt;10000000,D5&lt;1000,D5&gt;10000000,E5&lt;1000,E5&gt;10000000),"Outside 1,000 to 10,000,000","In range")</f>
        <v/>
      </c>
      <c r="AN5" s="52">
        <f>MAX(0.5,I5/AcuPerVcpu)*AuroraAcu*Hours+T5*AuroraGb</f>
        <v/>
      </c>
    </row>
    <row r="6" ht="22" customHeight="1">
      <c r="A6" s="4" t="inlineStr">
        <is>
          <t>All four at 10,000</t>
        </is>
      </c>
      <c r="B6" s="23" t="n">
        <v>10000</v>
      </c>
      <c r="C6" s="23" t="n">
        <v>10000</v>
      </c>
      <c r="D6" s="23" t="n">
        <v>10000</v>
      </c>
      <c r="E6" s="23" t="n">
        <v>10000</v>
      </c>
      <c r="F6" s="50">
        <f>B6*ReqPerUser+C6*ReqPerBot+D6*ReqPerOffer+E6*ReqPerMessage</f>
        <v/>
      </c>
      <c r="G6" s="50">
        <f>F6/86400*Peak</f>
        <v/>
      </c>
      <c r="H6" s="50">
        <f>G6*AppVcpuS/CpuTarget</f>
        <v/>
      </c>
      <c r="I6" s="50">
        <f>G6*DbVcpuS/CpuTarget</f>
        <v/>
      </c>
      <c r="J6" s="25">
        <f>IF(MAX(1,ROUNDUP(H6/0.25,0))&lt;=TaskQuota,0.25,IF(MAX(1,ROUNDUP(H6/0.5,0))&lt;=TaskQuota,0.5,IF(MAX(1,ROUNDUP(H6/1,0))&lt;=TaskQuota,1,IF(MAX(1,ROUNDUP(H6/2,0))&lt;=TaskQuota,2,IF(MAX(1,ROUNDUP(H6/4,0))&lt;=TaskQuota,4,IF(MAX(1,ROUNDUP(H6/8,0))&lt;=TaskQuota,8,IF(MAX(1,ROUNDUP(H6/16,0))&lt;=TaskQuota,16,32)))))))</f>
        <v/>
      </c>
      <c r="K6" s="26">
        <f>MAX(1,ROUNDUP(H6/J6,0))</f>
        <v/>
      </c>
      <c r="L6" s="25">
        <f>IF(J6=0.25,0.5,IF(J6=0.5,1,IF(J6=1,2,IF(J6=2,4,IF(J6=4,8,IF(J6=8,16,IF(J6=16,32,60)))))))</f>
        <v/>
      </c>
      <c r="M6" s="50">
        <f>K6*J6</f>
        <v/>
      </c>
      <c r="N6" s="50">
        <f>K6*L6</f>
        <v/>
      </c>
      <c r="O6" s="50">
        <f>MAX(MinLcu,G6/ReqPerConn/25,(G6/ReqPerConn)*HoldS/3000,G6*3600*ReqKB*(1+RespMult)/1024/1024)</f>
        <v/>
      </c>
      <c r="P6" s="25">
        <f>AlbIpv4+IF(OR(NatOn=1,TaskPublicIp=0),0,K6)</f>
        <v/>
      </c>
      <c r="Q6" s="50">
        <f>MAX(1,(G6/ReqPerConn)*HoldS)</f>
        <v/>
      </c>
      <c r="R6" s="4">
        <f t="array" ref="R6">IFERROR(INDEX(ClassNames,MATCH(1,(ClassUse&gt;=I6)*(ClassCap&gt;=Q6),0)),"NO SINGLE-AZ CLASS")</f>
        <v/>
      </c>
      <c r="S6" s="51">
        <f t="array" ref="S6">IFERROR(INDEX(ClassPrices,MATCH(1,(ClassUse&gt;=I6)*(ClassCap&gt;=Q6),0)),INDEX(ClassPrices,MATCH(MAX(ClassVcpu),ClassVcpu,0)))</f>
        <v/>
      </c>
      <c r="T6" s="50">
        <f>MAX(DbFloor,F6*Hours/24/1000000*DbPerM)</f>
        <v/>
      </c>
      <c r="U6" s="50">
        <f>F6*Hours/24/1000000*LogPerM</f>
        <v/>
      </c>
      <c r="V6" s="50">
        <f>F6*Hours/24*ReqKB*(1+RespMult)/1024/1024</f>
        <v/>
      </c>
      <c r="W6" s="52">
        <f>K6*(J6*FargateCpuRate+L6*FargateMemRate)*Hours*3600</f>
        <v/>
      </c>
      <c r="X6" s="52">
        <f>Hours*AlbHourly</f>
        <v/>
      </c>
      <c r="Y6" s="52">
        <f>O6*LcuHourly*Hours</f>
        <v/>
      </c>
      <c r="Z6" s="52">
        <f>P6*Ipv4Hourly*Hours</f>
        <v/>
      </c>
      <c r="AA6" s="52">
        <f>S6*Hours</f>
        <v/>
      </c>
      <c r="AB6" s="52">
        <f>T6*Gp3Rate</f>
        <v/>
      </c>
      <c r="AC6" s="52">
        <f>SecretCount*SecretMonthly+SecretCalls/10000*SecretApiRate</f>
        <v/>
      </c>
      <c r="AD6" s="52">
        <f>MAX(0,U6-CwFreeGb)*(CwIngest+CwStore)</f>
        <v/>
      </c>
      <c r="AE6" s="52">
        <f>MAX(0,V6-XferFreeGb)*XferRate</f>
        <v/>
      </c>
      <c r="AF6" s="52">
        <f>IF(NatOn=1,Hours*NatHourly+V6*NatPerGb,0)</f>
        <v/>
      </c>
      <c r="AG6" s="52">
        <f>0</f>
        <v/>
      </c>
      <c r="AH6" s="53">
        <f>W6+X6+Y6+Z6+AA6+AB6+AC6+AD6+AE6+AF6+AG6</f>
        <v/>
      </c>
      <c r="AI6" s="52">
        <f>ROUND(AH6,2)</f>
        <v/>
      </c>
      <c r="AJ6" s="4">
        <f>IF(H6&gt;TaskQuota*FargateMaxVcpu,"Larger shape",IF(K6&gt;TaskQuota,"Larger shape",IF(J6&gt;0.25,"One service, task size raised to stay under the tasks-per-service quota",IF(K6&gt;ExpressMax,"One service, raise the Express max of 20 tasks","Fits one ECS Express service"))))</f>
        <v/>
      </c>
      <c r="AK6" s="4">
        <f>IF(I6&gt;MAX(ClassUse),"No single-AZ class covers the assumed CPU",IF(Q6&gt;MAX(ClassCap),"No single-AZ class covers the assumed connections","Covered"))</f>
        <v/>
      </c>
      <c r="AL6" s="4">
        <f>IF(M6&gt;FargateVcpuQuota,"Above the default quota of 6 vCPU, which AWS marks adjustable","Inside the default quota of 6 vCPU")</f>
        <v/>
      </c>
      <c r="AM6" s="4">
        <f>IF(OR(B6&lt;1000,B6&gt;10000000,C6&lt;1000,C6&gt;10000000,D6&lt;1000,D6&gt;10000000,E6&lt;1000,E6&gt;10000000),"Outside 1,000 to 10,000,000","In range")</f>
        <v/>
      </c>
      <c r="AN6" s="52">
        <f>MAX(0.5,I6/AcuPerVcpu)*AuroraAcu*Hours+T6*AuroraGb</f>
        <v/>
      </c>
    </row>
    <row r="7" ht="22" customHeight="1">
      <c r="A7" s="4" t="inlineStr">
        <is>
          <t>All four at 100,000</t>
        </is>
      </c>
      <c r="B7" s="23" t="n">
        <v>100000</v>
      </c>
      <c r="C7" s="23" t="n">
        <v>100000</v>
      </c>
      <c r="D7" s="23" t="n">
        <v>100000</v>
      </c>
      <c r="E7" s="23" t="n">
        <v>100000</v>
      </c>
      <c r="F7" s="50">
        <f>B7*ReqPerUser+C7*ReqPerBot+D7*ReqPerOffer+E7*ReqPerMessage</f>
        <v/>
      </c>
      <c r="G7" s="50">
        <f>F7/86400*Peak</f>
        <v/>
      </c>
      <c r="H7" s="50">
        <f>G7*AppVcpuS/CpuTarget</f>
        <v/>
      </c>
      <c r="I7" s="50">
        <f>G7*DbVcpuS/CpuTarget</f>
        <v/>
      </c>
      <c r="J7" s="25">
        <f>IF(MAX(1,ROUNDUP(H7/0.25,0))&lt;=TaskQuota,0.25,IF(MAX(1,ROUNDUP(H7/0.5,0))&lt;=TaskQuota,0.5,IF(MAX(1,ROUNDUP(H7/1,0))&lt;=TaskQuota,1,IF(MAX(1,ROUNDUP(H7/2,0))&lt;=TaskQuota,2,IF(MAX(1,ROUNDUP(H7/4,0))&lt;=TaskQuota,4,IF(MAX(1,ROUNDUP(H7/8,0))&lt;=TaskQuota,8,IF(MAX(1,ROUNDUP(H7/16,0))&lt;=TaskQuota,16,32)))))))</f>
        <v/>
      </c>
      <c r="K7" s="26">
        <f>MAX(1,ROUNDUP(H7/J7,0))</f>
        <v/>
      </c>
      <c r="L7" s="25">
        <f>IF(J7=0.25,0.5,IF(J7=0.5,1,IF(J7=1,2,IF(J7=2,4,IF(J7=4,8,IF(J7=8,16,IF(J7=16,32,60)))))))</f>
        <v/>
      </c>
      <c r="M7" s="50">
        <f>K7*J7</f>
        <v/>
      </c>
      <c r="N7" s="50">
        <f>K7*L7</f>
        <v/>
      </c>
      <c r="O7" s="50">
        <f>MAX(MinLcu,G7/ReqPerConn/25,(G7/ReqPerConn)*HoldS/3000,G7*3600*ReqKB*(1+RespMult)/1024/1024)</f>
        <v/>
      </c>
      <c r="P7" s="25">
        <f>AlbIpv4+IF(OR(NatOn=1,TaskPublicIp=0),0,K7)</f>
        <v/>
      </c>
      <c r="Q7" s="50">
        <f>MAX(1,(G7/ReqPerConn)*HoldS)</f>
        <v/>
      </c>
      <c r="R7" s="4">
        <f t="array" ref="R7">IFERROR(INDEX(ClassNames,MATCH(1,(ClassUse&gt;=I7)*(ClassCap&gt;=Q7),0)),"NO SINGLE-AZ CLASS")</f>
        <v/>
      </c>
      <c r="S7" s="51">
        <f t="array" ref="S7">IFERROR(INDEX(ClassPrices,MATCH(1,(ClassUse&gt;=I7)*(ClassCap&gt;=Q7),0)),INDEX(ClassPrices,MATCH(MAX(ClassVcpu),ClassVcpu,0)))</f>
        <v/>
      </c>
      <c r="T7" s="50">
        <f>MAX(DbFloor,F7*Hours/24/1000000*DbPerM)</f>
        <v/>
      </c>
      <c r="U7" s="50">
        <f>F7*Hours/24/1000000*LogPerM</f>
        <v/>
      </c>
      <c r="V7" s="50">
        <f>F7*Hours/24*ReqKB*(1+RespMult)/1024/1024</f>
        <v/>
      </c>
      <c r="W7" s="52">
        <f>K7*(J7*FargateCpuRate+L7*FargateMemRate)*Hours*3600</f>
        <v/>
      </c>
      <c r="X7" s="52">
        <f>Hours*AlbHourly</f>
        <v/>
      </c>
      <c r="Y7" s="52">
        <f>O7*LcuHourly*Hours</f>
        <v/>
      </c>
      <c r="Z7" s="52">
        <f>P7*Ipv4Hourly*Hours</f>
        <v/>
      </c>
      <c r="AA7" s="52">
        <f>S7*Hours</f>
        <v/>
      </c>
      <c r="AB7" s="52">
        <f>T7*Gp3Rate</f>
        <v/>
      </c>
      <c r="AC7" s="52">
        <f>SecretCount*SecretMonthly+SecretCalls/10000*SecretApiRate</f>
        <v/>
      </c>
      <c r="AD7" s="52">
        <f>MAX(0,U7-CwFreeGb)*(CwIngest+CwStore)</f>
        <v/>
      </c>
      <c r="AE7" s="52">
        <f>MAX(0,V7-XferFreeGb)*XferRate</f>
        <v/>
      </c>
      <c r="AF7" s="52">
        <f>IF(NatOn=1,Hours*NatHourly+V7*NatPerGb,0)</f>
        <v/>
      </c>
      <c r="AG7" s="52">
        <f>0</f>
        <v/>
      </c>
      <c r="AH7" s="53">
        <f>W7+X7+Y7+Z7+AA7+AB7+AC7+AD7+AE7+AF7+AG7</f>
        <v/>
      </c>
      <c r="AI7" s="52">
        <f>ROUND(AH7,2)</f>
        <v/>
      </c>
      <c r="AJ7" s="4">
        <f>IF(H7&gt;TaskQuota*FargateMaxVcpu,"Larger shape",IF(K7&gt;TaskQuota,"Larger shape",IF(J7&gt;0.25,"One service, task size raised to stay under the tasks-per-service quota",IF(K7&gt;ExpressMax,"One service, raise the Express max of 20 tasks","Fits one ECS Express service"))))</f>
        <v/>
      </c>
      <c r="AK7" s="4">
        <f>IF(I7&gt;MAX(ClassUse),"No single-AZ class covers the assumed CPU",IF(Q7&gt;MAX(ClassCap),"No single-AZ class covers the assumed connections","Covered"))</f>
        <v/>
      </c>
      <c r="AL7" s="4">
        <f>IF(M7&gt;FargateVcpuQuota,"Above the default quota of 6 vCPU, which AWS marks adjustable","Inside the default quota of 6 vCPU")</f>
        <v/>
      </c>
      <c r="AM7" s="4">
        <f>IF(OR(B7&lt;1000,B7&gt;10000000,C7&lt;1000,C7&gt;10000000,D7&lt;1000,D7&gt;10000000,E7&lt;1000,E7&gt;10000000),"Outside 1,000 to 10,000,000","In range")</f>
        <v/>
      </c>
      <c r="AN7" s="52">
        <f>MAX(0.5,I7/AcuPerVcpu)*AuroraAcu*Hours+T7*AuroraGb</f>
        <v/>
      </c>
    </row>
    <row r="8" ht="22" customHeight="1">
      <c r="A8" s="4" t="inlineStr">
        <is>
          <t>All four at 1,000,000</t>
        </is>
      </c>
      <c r="B8" s="23" t="n">
        <v>1000000</v>
      </c>
      <c r="C8" s="23" t="n">
        <v>1000000</v>
      </c>
      <c r="D8" s="23" t="n">
        <v>1000000</v>
      </c>
      <c r="E8" s="23" t="n">
        <v>1000000</v>
      </c>
      <c r="F8" s="50">
        <f>B8*ReqPerUser+C8*ReqPerBot+D8*ReqPerOffer+E8*ReqPerMessage</f>
        <v/>
      </c>
      <c r="G8" s="50">
        <f>F8/86400*Peak</f>
        <v/>
      </c>
      <c r="H8" s="50">
        <f>G8*AppVcpuS/CpuTarget</f>
        <v/>
      </c>
      <c r="I8" s="50">
        <f>G8*DbVcpuS/CpuTarget</f>
        <v/>
      </c>
      <c r="J8" s="25">
        <f>IF(MAX(1,ROUNDUP(H8/0.25,0))&lt;=TaskQuota,0.25,IF(MAX(1,ROUNDUP(H8/0.5,0))&lt;=TaskQuota,0.5,IF(MAX(1,ROUNDUP(H8/1,0))&lt;=TaskQuota,1,IF(MAX(1,ROUNDUP(H8/2,0))&lt;=TaskQuota,2,IF(MAX(1,ROUNDUP(H8/4,0))&lt;=TaskQuota,4,IF(MAX(1,ROUNDUP(H8/8,0))&lt;=TaskQuota,8,IF(MAX(1,ROUNDUP(H8/16,0))&lt;=TaskQuota,16,32)))))))</f>
        <v/>
      </c>
      <c r="K8" s="26">
        <f>MAX(1,ROUNDUP(H8/J8,0))</f>
        <v/>
      </c>
      <c r="L8" s="25">
        <f>IF(J8=0.25,0.5,IF(J8=0.5,1,IF(J8=1,2,IF(J8=2,4,IF(J8=4,8,IF(J8=8,16,IF(J8=16,32,60)))))))</f>
        <v/>
      </c>
      <c r="M8" s="50">
        <f>K8*J8</f>
        <v/>
      </c>
      <c r="N8" s="50">
        <f>K8*L8</f>
        <v/>
      </c>
      <c r="O8" s="50">
        <f>MAX(MinLcu,G8/ReqPerConn/25,(G8/ReqPerConn)*HoldS/3000,G8*3600*ReqKB*(1+RespMult)/1024/1024)</f>
        <v/>
      </c>
      <c r="P8" s="25">
        <f>AlbIpv4+IF(OR(NatOn=1,TaskPublicIp=0),0,K8)</f>
        <v/>
      </c>
      <c r="Q8" s="50">
        <f>MAX(1,(G8/ReqPerConn)*HoldS)</f>
        <v/>
      </c>
      <c r="R8" s="4">
        <f t="array" ref="R8">IFERROR(INDEX(ClassNames,MATCH(1,(ClassUse&gt;=I8)*(ClassCap&gt;=Q8),0)),"NO SINGLE-AZ CLASS")</f>
        <v/>
      </c>
      <c r="S8" s="51">
        <f t="array" ref="S8">IFERROR(INDEX(ClassPrices,MATCH(1,(ClassUse&gt;=I8)*(ClassCap&gt;=Q8),0)),INDEX(ClassPrices,MATCH(MAX(ClassVcpu),ClassVcpu,0)))</f>
        <v/>
      </c>
      <c r="T8" s="50">
        <f>MAX(DbFloor,F8*Hours/24/1000000*DbPerM)</f>
        <v/>
      </c>
      <c r="U8" s="50">
        <f>F8*Hours/24/1000000*LogPerM</f>
        <v/>
      </c>
      <c r="V8" s="50">
        <f>F8*Hours/24*ReqKB*(1+RespMult)/1024/1024</f>
        <v/>
      </c>
      <c r="W8" s="52">
        <f>K8*(J8*FargateCpuRate+L8*FargateMemRate)*Hours*3600</f>
        <v/>
      </c>
      <c r="X8" s="52">
        <f>Hours*AlbHourly</f>
        <v/>
      </c>
      <c r="Y8" s="52">
        <f>O8*LcuHourly*Hours</f>
        <v/>
      </c>
      <c r="Z8" s="52">
        <f>P8*Ipv4Hourly*Hours</f>
        <v/>
      </c>
      <c r="AA8" s="52">
        <f>S8*Hours</f>
        <v/>
      </c>
      <c r="AB8" s="52">
        <f>T8*Gp3Rate</f>
        <v/>
      </c>
      <c r="AC8" s="52">
        <f>SecretCount*SecretMonthly+SecretCalls/10000*SecretApiRate</f>
        <v/>
      </c>
      <c r="AD8" s="52">
        <f>MAX(0,U8-CwFreeGb)*(CwIngest+CwStore)</f>
        <v/>
      </c>
      <c r="AE8" s="52">
        <f>MAX(0,V8-XferFreeGb)*XferRate</f>
        <v/>
      </c>
      <c r="AF8" s="52">
        <f>IF(NatOn=1,Hours*NatHourly+V8*NatPerGb,0)</f>
        <v/>
      </c>
      <c r="AG8" s="52">
        <f>0</f>
        <v/>
      </c>
      <c r="AH8" s="53">
        <f>W8+X8+Y8+Z8+AA8+AB8+AC8+AD8+AE8+AF8+AG8</f>
        <v/>
      </c>
      <c r="AI8" s="52">
        <f>ROUND(AH8,2)</f>
        <v/>
      </c>
      <c r="AJ8" s="4">
        <f>IF(H8&gt;TaskQuota*FargateMaxVcpu,"Larger shape",IF(K8&gt;TaskQuota,"Larger shape",IF(J8&gt;0.25,"One service, task size raised to stay under the tasks-per-service quota",IF(K8&gt;ExpressMax,"One service, raise the Express max of 20 tasks","Fits one ECS Express service"))))</f>
        <v/>
      </c>
      <c r="AK8" s="4">
        <f>IF(I8&gt;MAX(ClassUse),"No single-AZ class covers the assumed CPU",IF(Q8&gt;MAX(ClassCap),"No single-AZ class covers the assumed connections","Covered"))</f>
        <v/>
      </c>
      <c r="AL8" s="4">
        <f>IF(M8&gt;FargateVcpuQuota,"Above the default quota of 6 vCPU, which AWS marks adjustable","Inside the default quota of 6 vCPU")</f>
        <v/>
      </c>
      <c r="AM8" s="4">
        <f>IF(OR(B8&lt;1000,B8&gt;10000000,C8&lt;1000,C8&gt;10000000,D8&lt;1000,D8&gt;10000000,E8&lt;1000,E8&gt;10000000),"Outside 1,000 to 10,000,000","In range")</f>
        <v/>
      </c>
      <c r="AN8" s="52">
        <f>MAX(0.5,I8/AcuPerVcpu)*AuroraAcu*Hours+T8*AuroraGb</f>
        <v/>
      </c>
    </row>
    <row r="9" ht="22" customHeight="1">
      <c r="A9" s="4" t="inlineStr">
        <is>
          <t>All four at 10,000,000</t>
        </is>
      </c>
      <c r="B9" s="23" t="n">
        <v>10000000</v>
      </c>
      <c r="C9" s="23" t="n">
        <v>10000000</v>
      </c>
      <c r="D9" s="23" t="n">
        <v>10000000</v>
      </c>
      <c r="E9" s="23" t="n">
        <v>10000000</v>
      </c>
      <c r="F9" s="50">
        <f>B9*ReqPerUser+C9*ReqPerBot+D9*ReqPerOffer+E9*ReqPerMessage</f>
        <v/>
      </c>
      <c r="G9" s="50">
        <f>F9/86400*Peak</f>
        <v/>
      </c>
      <c r="H9" s="50">
        <f>G9*AppVcpuS/CpuTarget</f>
        <v/>
      </c>
      <c r="I9" s="50">
        <f>G9*DbVcpuS/CpuTarget</f>
        <v/>
      </c>
      <c r="J9" s="25">
        <f>IF(MAX(1,ROUNDUP(H9/0.25,0))&lt;=TaskQuota,0.25,IF(MAX(1,ROUNDUP(H9/0.5,0))&lt;=TaskQuota,0.5,IF(MAX(1,ROUNDUP(H9/1,0))&lt;=TaskQuota,1,IF(MAX(1,ROUNDUP(H9/2,0))&lt;=TaskQuota,2,IF(MAX(1,ROUNDUP(H9/4,0))&lt;=TaskQuota,4,IF(MAX(1,ROUNDUP(H9/8,0))&lt;=TaskQuota,8,IF(MAX(1,ROUNDUP(H9/16,0))&lt;=TaskQuota,16,32)))))))</f>
        <v/>
      </c>
      <c r="K9" s="26">
        <f>MAX(1,ROUNDUP(H9/J9,0))</f>
        <v/>
      </c>
      <c r="L9" s="25">
        <f>IF(J9=0.25,0.5,IF(J9=0.5,1,IF(J9=1,2,IF(J9=2,4,IF(J9=4,8,IF(J9=8,16,IF(J9=16,32,60)))))))</f>
        <v/>
      </c>
      <c r="M9" s="50">
        <f>K9*J9</f>
        <v/>
      </c>
      <c r="N9" s="50">
        <f>K9*L9</f>
        <v/>
      </c>
      <c r="O9" s="50">
        <f>MAX(MinLcu,G9/ReqPerConn/25,(G9/ReqPerConn)*HoldS/3000,G9*3600*ReqKB*(1+RespMult)/1024/1024)</f>
        <v/>
      </c>
      <c r="P9" s="25">
        <f>AlbIpv4+IF(OR(NatOn=1,TaskPublicIp=0),0,K9)</f>
        <v/>
      </c>
      <c r="Q9" s="50">
        <f>MAX(1,(G9/ReqPerConn)*HoldS)</f>
        <v/>
      </c>
      <c r="R9" s="4">
        <f t="array" ref="R9">IFERROR(INDEX(ClassNames,MATCH(1,(ClassUse&gt;=I9)*(ClassCap&gt;=Q9),0)),"NO SINGLE-AZ CLASS")</f>
        <v/>
      </c>
      <c r="S9" s="51">
        <f t="array" ref="S9">IFERROR(INDEX(ClassPrices,MATCH(1,(ClassUse&gt;=I9)*(ClassCap&gt;=Q9),0)),INDEX(ClassPrices,MATCH(MAX(ClassVcpu),ClassVcpu,0)))</f>
        <v/>
      </c>
      <c r="T9" s="50">
        <f>MAX(DbFloor,F9*Hours/24/1000000*DbPerM)</f>
        <v/>
      </c>
      <c r="U9" s="50">
        <f>F9*Hours/24/1000000*LogPerM</f>
        <v/>
      </c>
      <c r="V9" s="50">
        <f>F9*Hours/24*ReqKB*(1+RespMult)/1024/1024</f>
        <v/>
      </c>
      <c r="W9" s="52">
        <f>K9*(J9*FargateCpuRate+L9*FargateMemRate)*Hours*3600</f>
        <v/>
      </c>
      <c r="X9" s="52">
        <f>Hours*AlbHourly</f>
        <v/>
      </c>
      <c r="Y9" s="52">
        <f>O9*LcuHourly*Hours</f>
        <v/>
      </c>
      <c r="Z9" s="52">
        <f>P9*Ipv4Hourly*Hours</f>
        <v/>
      </c>
      <c r="AA9" s="52">
        <f>S9*Hours</f>
        <v/>
      </c>
      <c r="AB9" s="52">
        <f>T9*Gp3Rate</f>
        <v/>
      </c>
      <c r="AC9" s="52">
        <f>SecretCount*SecretMonthly+SecretCalls/10000*SecretApiRate</f>
        <v/>
      </c>
      <c r="AD9" s="52">
        <f>MAX(0,U9-CwFreeGb)*(CwIngest+CwStore)</f>
        <v/>
      </c>
      <c r="AE9" s="52">
        <f>MAX(0,V9-XferFreeGb)*XferRate</f>
        <v/>
      </c>
      <c r="AF9" s="52">
        <f>IF(NatOn=1,Hours*NatHourly+V9*NatPerGb,0)</f>
        <v/>
      </c>
      <c r="AG9" s="52">
        <f>0</f>
        <v/>
      </c>
      <c r="AH9" s="53">
        <f>W9+X9+Y9+Z9+AA9+AB9+AC9+AD9+AE9+AF9+AG9</f>
        <v/>
      </c>
      <c r="AI9" s="52">
        <f>ROUND(AH9,2)</f>
        <v/>
      </c>
      <c r="AJ9" s="4">
        <f>IF(H9&gt;TaskQuota*FargateMaxVcpu,"Larger shape",IF(K9&gt;TaskQuota,"Larger shape",IF(J9&gt;0.25,"One service, task size raised to stay under the tasks-per-service quota",IF(K9&gt;ExpressMax,"One service, raise the Express max of 20 tasks","Fits one ECS Express service"))))</f>
        <v/>
      </c>
      <c r="AK9" s="4">
        <f>IF(I9&gt;MAX(ClassUse),"No single-AZ class covers the assumed CPU",IF(Q9&gt;MAX(ClassCap),"No single-AZ class covers the assumed connections","Covered"))</f>
        <v/>
      </c>
      <c r="AL9" s="4">
        <f>IF(M9&gt;FargateVcpuQuota,"Above the default quota of 6 vCPU, which AWS marks adjustable","Inside the default quota of 6 vCPU")</f>
        <v/>
      </c>
      <c r="AM9" s="4">
        <f>IF(OR(B9&lt;1000,B9&gt;10000000,C9&lt;1000,C9&gt;10000000,D9&lt;1000,D9&gt;10000000,E9&lt;1000,E9&gt;10000000),"Outside 1,000 to 10,000,000","In range")</f>
        <v/>
      </c>
      <c r="AN9" s="52">
        <f>MAX(0.5,I9/AcuPerVcpu)*AuroraAcu*Hours+T9*AuroraGb</f>
        <v/>
      </c>
    </row>
    <row r="10" ht="22" customHeight="1">
      <c r="A10" s="4" t="inlineStr">
        <is>
          <t>Users alone at 1,000</t>
        </is>
      </c>
      <c r="B10" s="23" t="n">
        <v>1000</v>
      </c>
      <c r="C10" s="23" t="n">
        <v>1000</v>
      </c>
      <c r="D10" s="23" t="n">
        <v>1000</v>
      </c>
      <c r="E10" s="23" t="n">
        <v>1000</v>
      </c>
      <c r="F10" s="50">
        <f>B10*ReqPerUser+C10*ReqPerBot+D10*ReqPerOffer+E10*ReqPerMessage</f>
        <v/>
      </c>
      <c r="G10" s="50">
        <f>F10/86400*Peak</f>
        <v/>
      </c>
      <c r="H10" s="50">
        <f>G10*AppVcpuS/CpuTarget</f>
        <v/>
      </c>
      <c r="I10" s="50">
        <f>G10*DbVcpuS/CpuTarget</f>
        <v/>
      </c>
      <c r="J10" s="25">
        <f>IF(MAX(1,ROUNDUP(H10/0.25,0))&lt;=TaskQuota,0.25,IF(MAX(1,ROUNDUP(H10/0.5,0))&lt;=TaskQuota,0.5,IF(MAX(1,ROUNDUP(H10/1,0))&lt;=TaskQuota,1,IF(MAX(1,ROUNDUP(H10/2,0))&lt;=TaskQuota,2,IF(MAX(1,ROUNDUP(H10/4,0))&lt;=TaskQuota,4,IF(MAX(1,ROUNDUP(H10/8,0))&lt;=TaskQuota,8,IF(MAX(1,ROUNDUP(H10/16,0))&lt;=TaskQuota,16,32)))))))</f>
        <v/>
      </c>
      <c r="K10" s="26">
        <f>MAX(1,ROUNDUP(H10/J10,0))</f>
        <v/>
      </c>
      <c r="L10" s="25">
        <f>IF(J10=0.25,0.5,IF(J10=0.5,1,IF(J10=1,2,IF(J10=2,4,IF(J10=4,8,IF(J10=8,16,IF(J10=16,32,60)))))))</f>
        <v/>
      </c>
      <c r="M10" s="50">
        <f>K10*J10</f>
        <v/>
      </c>
      <c r="N10" s="50">
        <f>K10*L10</f>
        <v/>
      </c>
      <c r="O10" s="50">
        <f>MAX(MinLcu,G10/ReqPerConn/25,(G10/ReqPerConn)*HoldS/3000,G10*3600*ReqKB*(1+RespMult)/1024/1024)</f>
        <v/>
      </c>
      <c r="P10" s="25">
        <f>AlbIpv4+IF(OR(NatOn=1,TaskPublicIp=0),0,K10)</f>
        <v/>
      </c>
      <c r="Q10" s="50">
        <f>MAX(1,(G10/ReqPerConn)*HoldS)</f>
        <v/>
      </c>
      <c r="R10" s="4">
        <f t="array" ref="R10">IFERROR(INDEX(ClassNames,MATCH(1,(ClassUse&gt;=I10)*(ClassCap&gt;=Q10),0)),"NO SINGLE-AZ CLASS")</f>
        <v/>
      </c>
      <c r="S10" s="51">
        <f t="array" ref="S10">IFERROR(INDEX(ClassPrices,MATCH(1,(ClassUse&gt;=I10)*(ClassCap&gt;=Q10),0)),INDEX(ClassPrices,MATCH(MAX(ClassVcpu),ClassVcpu,0)))</f>
        <v/>
      </c>
      <c r="T10" s="50">
        <f>MAX(DbFloor,F10*Hours/24/1000000*DbPerM)</f>
        <v/>
      </c>
      <c r="U10" s="50">
        <f>F10*Hours/24/1000000*LogPerM</f>
        <v/>
      </c>
      <c r="V10" s="50">
        <f>F10*Hours/24*ReqKB*(1+RespMult)/1024/1024</f>
        <v/>
      </c>
      <c r="W10" s="52">
        <f>K10*(J10*FargateCpuRate+L10*FargateMemRate)*Hours*3600</f>
        <v/>
      </c>
      <c r="X10" s="52">
        <f>Hours*AlbHourly</f>
        <v/>
      </c>
      <c r="Y10" s="52">
        <f>O10*LcuHourly*Hours</f>
        <v/>
      </c>
      <c r="Z10" s="52">
        <f>P10*Ipv4Hourly*Hours</f>
        <v/>
      </c>
      <c r="AA10" s="52">
        <f>S10*Hours</f>
        <v/>
      </c>
      <c r="AB10" s="52">
        <f>T10*Gp3Rate</f>
        <v/>
      </c>
      <c r="AC10" s="52">
        <f>SecretCount*SecretMonthly+SecretCalls/10000*SecretApiRate</f>
        <v/>
      </c>
      <c r="AD10" s="52">
        <f>MAX(0,U10-CwFreeGb)*(CwIngest+CwStore)</f>
        <v/>
      </c>
      <c r="AE10" s="52">
        <f>MAX(0,V10-XferFreeGb)*XferRate</f>
        <v/>
      </c>
      <c r="AF10" s="52">
        <f>IF(NatOn=1,Hours*NatHourly+V10*NatPerGb,0)</f>
        <v/>
      </c>
      <c r="AG10" s="52">
        <f>0</f>
        <v/>
      </c>
      <c r="AH10" s="53">
        <f>W10+X10+Y10+Z10+AA10+AB10+AC10+AD10+AE10+AF10+AG10</f>
        <v/>
      </c>
      <c r="AI10" s="52">
        <f>ROUND(AH10,2)</f>
        <v/>
      </c>
      <c r="AJ10" s="4">
        <f>IF(H10&gt;TaskQuota*FargateMaxVcpu,"Larger shape",IF(K10&gt;TaskQuota,"Larger shape",IF(J10&gt;0.25,"One service, task size raised to stay under the tasks-per-service quota",IF(K10&gt;ExpressMax,"One service, raise the Express max of 20 tasks","Fits one ECS Express service"))))</f>
        <v/>
      </c>
      <c r="AK10" s="4">
        <f>IF(I10&gt;MAX(ClassUse),"No single-AZ class covers the assumed CPU",IF(Q10&gt;MAX(ClassCap),"No single-AZ class covers the assumed connections","Covered"))</f>
        <v/>
      </c>
      <c r="AL10" s="4">
        <f>IF(M10&gt;FargateVcpuQuota,"Above the default quota of 6 vCPU, which AWS marks adjustable","Inside the default quota of 6 vCPU")</f>
        <v/>
      </c>
      <c r="AM10" s="4">
        <f>IF(OR(B10&lt;1000,B10&gt;10000000,C10&lt;1000,C10&gt;10000000,D10&lt;1000,D10&gt;10000000,E10&lt;1000,E10&gt;10000000),"Outside 1,000 to 10,000,000","In range")</f>
        <v/>
      </c>
      <c r="AN10" s="52">
        <f>MAX(0.5,I10/AcuPerVcpu)*AuroraAcu*Hours+T10*AuroraGb</f>
        <v/>
      </c>
    </row>
    <row r="11" ht="22" customHeight="1">
      <c r="A11" s="4" t="inlineStr">
        <is>
          <t>Users alone at 10,000</t>
        </is>
      </c>
      <c r="B11" s="23" t="n">
        <v>10000</v>
      </c>
      <c r="C11" s="23" t="n">
        <v>1000</v>
      </c>
      <c r="D11" s="23" t="n">
        <v>1000</v>
      </c>
      <c r="E11" s="23" t="n">
        <v>1000</v>
      </c>
      <c r="F11" s="50">
        <f>B11*ReqPerUser+C11*ReqPerBot+D11*ReqPerOffer+E11*ReqPerMessage</f>
        <v/>
      </c>
      <c r="G11" s="50">
        <f>F11/86400*Peak</f>
        <v/>
      </c>
      <c r="H11" s="50">
        <f>G11*AppVcpuS/CpuTarget</f>
        <v/>
      </c>
      <c r="I11" s="50">
        <f>G11*DbVcpuS/CpuTarget</f>
        <v/>
      </c>
      <c r="J11" s="25">
        <f>IF(MAX(1,ROUNDUP(H11/0.25,0))&lt;=TaskQuota,0.25,IF(MAX(1,ROUNDUP(H11/0.5,0))&lt;=TaskQuota,0.5,IF(MAX(1,ROUNDUP(H11/1,0))&lt;=TaskQuota,1,IF(MAX(1,ROUNDUP(H11/2,0))&lt;=TaskQuota,2,IF(MAX(1,ROUNDUP(H11/4,0))&lt;=TaskQuota,4,IF(MAX(1,ROUNDUP(H11/8,0))&lt;=TaskQuota,8,IF(MAX(1,ROUNDUP(H11/16,0))&lt;=TaskQuota,16,32)))))))</f>
        <v/>
      </c>
      <c r="K11" s="26">
        <f>MAX(1,ROUNDUP(H11/J11,0))</f>
        <v/>
      </c>
      <c r="L11" s="25">
        <f>IF(J11=0.25,0.5,IF(J11=0.5,1,IF(J11=1,2,IF(J11=2,4,IF(J11=4,8,IF(J11=8,16,IF(J11=16,32,60)))))))</f>
        <v/>
      </c>
      <c r="M11" s="50">
        <f>K11*J11</f>
        <v/>
      </c>
      <c r="N11" s="50">
        <f>K11*L11</f>
        <v/>
      </c>
      <c r="O11" s="50">
        <f>MAX(MinLcu,G11/ReqPerConn/25,(G11/ReqPerConn)*HoldS/3000,G11*3600*ReqKB*(1+RespMult)/1024/1024)</f>
        <v/>
      </c>
      <c r="P11" s="25">
        <f>AlbIpv4+IF(OR(NatOn=1,TaskPublicIp=0),0,K11)</f>
        <v/>
      </c>
      <c r="Q11" s="50">
        <f>MAX(1,(G11/ReqPerConn)*HoldS)</f>
        <v/>
      </c>
      <c r="R11" s="4">
        <f t="array" ref="R11">IFERROR(INDEX(ClassNames,MATCH(1,(ClassUse&gt;=I11)*(ClassCap&gt;=Q11),0)),"NO SINGLE-AZ CLASS")</f>
        <v/>
      </c>
      <c r="S11" s="51">
        <f t="array" ref="S11">IFERROR(INDEX(ClassPrices,MATCH(1,(ClassUse&gt;=I11)*(ClassCap&gt;=Q11),0)),INDEX(ClassPrices,MATCH(MAX(ClassVcpu),ClassVcpu,0)))</f>
        <v/>
      </c>
      <c r="T11" s="50">
        <f>MAX(DbFloor,F11*Hours/24/1000000*DbPerM)</f>
        <v/>
      </c>
      <c r="U11" s="50">
        <f>F11*Hours/24/1000000*LogPerM</f>
        <v/>
      </c>
      <c r="V11" s="50">
        <f>F11*Hours/24*ReqKB*(1+RespMult)/1024/1024</f>
        <v/>
      </c>
      <c r="W11" s="52">
        <f>K11*(J11*FargateCpuRate+L11*FargateMemRate)*Hours*3600</f>
        <v/>
      </c>
      <c r="X11" s="52">
        <f>Hours*AlbHourly</f>
        <v/>
      </c>
      <c r="Y11" s="52">
        <f>O11*LcuHourly*Hours</f>
        <v/>
      </c>
      <c r="Z11" s="52">
        <f>P11*Ipv4Hourly*Hours</f>
        <v/>
      </c>
      <c r="AA11" s="52">
        <f>S11*Hours</f>
        <v/>
      </c>
      <c r="AB11" s="52">
        <f>T11*Gp3Rate</f>
        <v/>
      </c>
      <c r="AC11" s="52">
        <f>SecretCount*SecretMonthly+SecretCalls/10000*SecretApiRate</f>
        <v/>
      </c>
      <c r="AD11" s="52">
        <f>MAX(0,U11-CwFreeGb)*(CwIngest+CwStore)</f>
        <v/>
      </c>
      <c r="AE11" s="52">
        <f>MAX(0,V11-XferFreeGb)*XferRate</f>
        <v/>
      </c>
      <c r="AF11" s="52">
        <f>IF(NatOn=1,Hours*NatHourly+V11*NatPerGb,0)</f>
        <v/>
      </c>
      <c r="AG11" s="52">
        <f>0</f>
        <v/>
      </c>
      <c r="AH11" s="53">
        <f>W11+X11+Y11+Z11+AA11+AB11+AC11+AD11+AE11+AF11+AG11</f>
        <v/>
      </c>
      <c r="AI11" s="52">
        <f>ROUND(AH11,2)</f>
        <v/>
      </c>
      <c r="AJ11" s="4">
        <f>IF(H11&gt;TaskQuota*FargateMaxVcpu,"Larger shape",IF(K11&gt;TaskQuota,"Larger shape",IF(J11&gt;0.25,"One service, task size raised to stay under the tasks-per-service quota",IF(K11&gt;ExpressMax,"One service, raise the Express max of 20 tasks","Fits one ECS Express service"))))</f>
        <v/>
      </c>
      <c r="AK11" s="4">
        <f>IF(I11&gt;MAX(ClassUse),"No single-AZ class covers the assumed CPU",IF(Q11&gt;MAX(ClassCap),"No single-AZ class covers the assumed connections","Covered"))</f>
        <v/>
      </c>
      <c r="AL11" s="4">
        <f>IF(M11&gt;FargateVcpuQuota,"Above the default quota of 6 vCPU, which AWS marks adjustable","Inside the default quota of 6 vCPU")</f>
        <v/>
      </c>
      <c r="AM11" s="4">
        <f>IF(OR(B11&lt;1000,B11&gt;10000000,C11&lt;1000,C11&gt;10000000,D11&lt;1000,D11&gt;10000000,E11&lt;1000,E11&gt;10000000),"Outside 1,000 to 10,000,000","In range")</f>
        <v/>
      </c>
      <c r="AN11" s="52">
        <f>MAX(0.5,I11/AcuPerVcpu)*AuroraAcu*Hours+T11*AuroraGb</f>
        <v/>
      </c>
    </row>
    <row r="12" ht="22" customHeight="1">
      <c r="A12" s="4" t="inlineStr">
        <is>
          <t>Users alone at 100,000</t>
        </is>
      </c>
      <c r="B12" s="23" t="n">
        <v>100000</v>
      </c>
      <c r="C12" s="23" t="n">
        <v>1000</v>
      </c>
      <c r="D12" s="23" t="n">
        <v>1000</v>
      </c>
      <c r="E12" s="23" t="n">
        <v>1000</v>
      </c>
      <c r="F12" s="50">
        <f>B12*ReqPerUser+C12*ReqPerBot+D12*ReqPerOffer+E12*ReqPerMessage</f>
        <v/>
      </c>
      <c r="G12" s="50">
        <f>F12/86400*Peak</f>
        <v/>
      </c>
      <c r="H12" s="50">
        <f>G12*AppVcpuS/CpuTarget</f>
        <v/>
      </c>
      <c r="I12" s="50">
        <f>G12*DbVcpuS/CpuTarget</f>
        <v/>
      </c>
      <c r="J12" s="25">
        <f>IF(MAX(1,ROUNDUP(H12/0.25,0))&lt;=TaskQuota,0.25,IF(MAX(1,ROUNDUP(H12/0.5,0))&lt;=TaskQuota,0.5,IF(MAX(1,ROUNDUP(H12/1,0))&lt;=TaskQuota,1,IF(MAX(1,ROUNDUP(H12/2,0))&lt;=TaskQuota,2,IF(MAX(1,ROUNDUP(H12/4,0))&lt;=TaskQuota,4,IF(MAX(1,ROUNDUP(H12/8,0))&lt;=TaskQuota,8,IF(MAX(1,ROUNDUP(H12/16,0))&lt;=TaskQuota,16,32)))))))</f>
        <v/>
      </c>
      <c r="K12" s="26">
        <f>MAX(1,ROUNDUP(H12/J12,0))</f>
        <v/>
      </c>
      <c r="L12" s="25">
        <f>IF(J12=0.25,0.5,IF(J12=0.5,1,IF(J12=1,2,IF(J12=2,4,IF(J12=4,8,IF(J12=8,16,IF(J12=16,32,60)))))))</f>
        <v/>
      </c>
      <c r="M12" s="50">
        <f>K12*J12</f>
        <v/>
      </c>
      <c r="N12" s="50">
        <f>K12*L12</f>
        <v/>
      </c>
      <c r="O12" s="50">
        <f>MAX(MinLcu,G12/ReqPerConn/25,(G12/ReqPerConn)*HoldS/3000,G12*3600*ReqKB*(1+RespMult)/1024/1024)</f>
        <v/>
      </c>
      <c r="P12" s="25">
        <f>AlbIpv4+IF(OR(NatOn=1,TaskPublicIp=0),0,K12)</f>
        <v/>
      </c>
      <c r="Q12" s="50">
        <f>MAX(1,(G12/ReqPerConn)*HoldS)</f>
        <v/>
      </c>
      <c r="R12" s="4">
        <f t="array" ref="R12">IFERROR(INDEX(ClassNames,MATCH(1,(ClassUse&gt;=I12)*(ClassCap&gt;=Q12),0)),"NO SINGLE-AZ CLASS")</f>
        <v/>
      </c>
      <c r="S12" s="51">
        <f t="array" ref="S12">IFERROR(INDEX(ClassPrices,MATCH(1,(ClassUse&gt;=I12)*(ClassCap&gt;=Q12),0)),INDEX(ClassPrices,MATCH(MAX(ClassVcpu),ClassVcpu,0)))</f>
        <v/>
      </c>
      <c r="T12" s="50">
        <f>MAX(DbFloor,F12*Hours/24/1000000*DbPerM)</f>
        <v/>
      </c>
      <c r="U12" s="50">
        <f>F12*Hours/24/1000000*LogPerM</f>
        <v/>
      </c>
      <c r="V12" s="50">
        <f>F12*Hours/24*ReqKB*(1+RespMult)/1024/1024</f>
        <v/>
      </c>
      <c r="W12" s="52">
        <f>K12*(J12*FargateCpuRate+L12*FargateMemRate)*Hours*3600</f>
        <v/>
      </c>
      <c r="X12" s="52">
        <f>Hours*AlbHourly</f>
        <v/>
      </c>
      <c r="Y12" s="52">
        <f>O12*LcuHourly*Hours</f>
        <v/>
      </c>
      <c r="Z12" s="52">
        <f>P12*Ipv4Hourly*Hours</f>
        <v/>
      </c>
      <c r="AA12" s="52">
        <f>S12*Hours</f>
        <v/>
      </c>
      <c r="AB12" s="52">
        <f>T12*Gp3Rate</f>
        <v/>
      </c>
      <c r="AC12" s="52">
        <f>SecretCount*SecretMonthly+SecretCalls/10000*SecretApiRate</f>
        <v/>
      </c>
      <c r="AD12" s="52">
        <f>MAX(0,U12-CwFreeGb)*(CwIngest+CwStore)</f>
        <v/>
      </c>
      <c r="AE12" s="52">
        <f>MAX(0,V12-XferFreeGb)*XferRate</f>
        <v/>
      </c>
      <c r="AF12" s="52">
        <f>IF(NatOn=1,Hours*NatHourly+V12*NatPerGb,0)</f>
        <v/>
      </c>
      <c r="AG12" s="52">
        <f>0</f>
        <v/>
      </c>
      <c r="AH12" s="53">
        <f>W12+X12+Y12+Z12+AA12+AB12+AC12+AD12+AE12+AF12+AG12</f>
        <v/>
      </c>
      <c r="AI12" s="52">
        <f>ROUND(AH12,2)</f>
        <v/>
      </c>
      <c r="AJ12" s="4">
        <f>IF(H12&gt;TaskQuota*FargateMaxVcpu,"Larger shape",IF(K12&gt;TaskQuota,"Larger shape",IF(J12&gt;0.25,"One service, task size raised to stay under the tasks-per-service quota",IF(K12&gt;ExpressMax,"One service, raise the Express max of 20 tasks","Fits one ECS Express service"))))</f>
        <v/>
      </c>
      <c r="AK12" s="4">
        <f>IF(I12&gt;MAX(ClassUse),"No single-AZ class covers the assumed CPU",IF(Q12&gt;MAX(ClassCap),"No single-AZ class covers the assumed connections","Covered"))</f>
        <v/>
      </c>
      <c r="AL12" s="4">
        <f>IF(M12&gt;FargateVcpuQuota,"Above the default quota of 6 vCPU, which AWS marks adjustable","Inside the default quota of 6 vCPU")</f>
        <v/>
      </c>
      <c r="AM12" s="4">
        <f>IF(OR(B12&lt;1000,B12&gt;10000000,C12&lt;1000,C12&gt;10000000,D12&lt;1000,D12&gt;10000000,E12&lt;1000,E12&gt;10000000),"Outside 1,000 to 10,000,000","In range")</f>
        <v/>
      </c>
      <c r="AN12" s="52">
        <f>MAX(0.5,I12/AcuPerVcpu)*AuroraAcu*Hours+T12*AuroraGb</f>
        <v/>
      </c>
    </row>
    <row r="13" ht="22" customHeight="1">
      <c r="A13" s="4" t="inlineStr">
        <is>
          <t>Users alone at 1,000,000</t>
        </is>
      </c>
      <c r="B13" s="23" t="n">
        <v>1000000</v>
      </c>
      <c r="C13" s="23" t="n">
        <v>1000</v>
      </c>
      <c r="D13" s="23" t="n">
        <v>1000</v>
      </c>
      <c r="E13" s="23" t="n">
        <v>1000</v>
      </c>
      <c r="F13" s="50">
        <f>B13*ReqPerUser+C13*ReqPerBot+D13*ReqPerOffer+E13*ReqPerMessage</f>
        <v/>
      </c>
      <c r="G13" s="50">
        <f>F13/86400*Peak</f>
        <v/>
      </c>
      <c r="H13" s="50">
        <f>G13*AppVcpuS/CpuTarget</f>
        <v/>
      </c>
      <c r="I13" s="50">
        <f>G13*DbVcpuS/CpuTarget</f>
        <v/>
      </c>
      <c r="J13" s="25">
        <f>IF(MAX(1,ROUNDUP(H13/0.25,0))&lt;=TaskQuota,0.25,IF(MAX(1,ROUNDUP(H13/0.5,0))&lt;=TaskQuota,0.5,IF(MAX(1,ROUNDUP(H13/1,0))&lt;=TaskQuota,1,IF(MAX(1,ROUNDUP(H13/2,0))&lt;=TaskQuota,2,IF(MAX(1,ROUNDUP(H13/4,0))&lt;=TaskQuota,4,IF(MAX(1,ROUNDUP(H13/8,0))&lt;=TaskQuota,8,IF(MAX(1,ROUNDUP(H13/16,0))&lt;=TaskQuota,16,32)))))))</f>
        <v/>
      </c>
      <c r="K13" s="26">
        <f>MAX(1,ROUNDUP(H13/J13,0))</f>
        <v/>
      </c>
      <c r="L13" s="25">
        <f>IF(J13=0.25,0.5,IF(J13=0.5,1,IF(J13=1,2,IF(J13=2,4,IF(J13=4,8,IF(J13=8,16,IF(J13=16,32,60)))))))</f>
        <v/>
      </c>
      <c r="M13" s="50">
        <f>K13*J13</f>
        <v/>
      </c>
      <c r="N13" s="50">
        <f>K13*L13</f>
        <v/>
      </c>
      <c r="O13" s="50">
        <f>MAX(MinLcu,G13/ReqPerConn/25,(G13/ReqPerConn)*HoldS/3000,G13*3600*ReqKB*(1+RespMult)/1024/1024)</f>
        <v/>
      </c>
      <c r="P13" s="25">
        <f>AlbIpv4+IF(OR(NatOn=1,TaskPublicIp=0),0,K13)</f>
        <v/>
      </c>
      <c r="Q13" s="50">
        <f>MAX(1,(G13/ReqPerConn)*HoldS)</f>
        <v/>
      </c>
      <c r="R13" s="4">
        <f t="array" ref="R13">IFERROR(INDEX(ClassNames,MATCH(1,(ClassUse&gt;=I13)*(ClassCap&gt;=Q13),0)),"NO SINGLE-AZ CLASS")</f>
        <v/>
      </c>
      <c r="S13" s="51">
        <f t="array" ref="S13">IFERROR(INDEX(ClassPrices,MATCH(1,(ClassUse&gt;=I13)*(ClassCap&gt;=Q13),0)),INDEX(ClassPrices,MATCH(MAX(ClassVcpu),ClassVcpu,0)))</f>
        <v/>
      </c>
      <c r="T13" s="50">
        <f>MAX(DbFloor,F13*Hours/24/1000000*DbPerM)</f>
        <v/>
      </c>
      <c r="U13" s="50">
        <f>F13*Hours/24/1000000*LogPerM</f>
        <v/>
      </c>
      <c r="V13" s="50">
        <f>F13*Hours/24*ReqKB*(1+RespMult)/1024/1024</f>
        <v/>
      </c>
      <c r="W13" s="52">
        <f>K13*(J13*FargateCpuRate+L13*FargateMemRate)*Hours*3600</f>
        <v/>
      </c>
      <c r="X13" s="52">
        <f>Hours*AlbHourly</f>
        <v/>
      </c>
      <c r="Y13" s="52">
        <f>O13*LcuHourly*Hours</f>
        <v/>
      </c>
      <c r="Z13" s="52">
        <f>P13*Ipv4Hourly*Hours</f>
        <v/>
      </c>
      <c r="AA13" s="52">
        <f>S13*Hours</f>
        <v/>
      </c>
      <c r="AB13" s="52">
        <f>T13*Gp3Rate</f>
        <v/>
      </c>
      <c r="AC13" s="52">
        <f>SecretCount*SecretMonthly+SecretCalls/10000*SecretApiRate</f>
        <v/>
      </c>
      <c r="AD13" s="52">
        <f>MAX(0,U13-CwFreeGb)*(CwIngest+CwStore)</f>
        <v/>
      </c>
      <c r="AE13" s="52">
        <f>MAX(0,V13-XferFreeGb)*XferRate</f>
        <v/>
      </c>
      <c r="AF13" s="52">
        <f>IF(NatOn=1,Hours*NatHourly+V13*NatPerGb,0)</f>
        <v/>
      </c>
      <c r="AG13" s="52">
        <f>0</f>
        <v/>
      </c>
      <c r="AH13" s="53">
        <f>W13+X13+Y13+Z13+AA13+AB13+AC13+AD13+AE13+AF13+AG13</f>
        <v/>
      </c>
      <c r="AI13" s="52">
        <f>ROUND(AH13,2)</f>
        <v/>
      </c>
      <c r="AJ13" s="4">
        <f>IF(H13&gt;TaskQuota*FargateMaxVcpu,"Larger shape",IF(K13&gt;TaskQuota,"Larger shape",IF(J13&gt;0.25,"One service, task size raised to stay under the tasks-per-service quota",IF(K13&gt;ExpressMax,"One service, raise the Express max of 20 tasks","Fits one ECS Express service"))))</f>
        <v/>
      </c>
      <c r="AK13" s="4">
        <f>IF(I13&gt;MAX(ClassUse),"No single-AZ class covers the assumed CPU",IF(Q13&gt;MAX(ClassCap),"No single-AZ class covers the assumed connections","Covered"))</f>
        <v/>
      </c>
      <c r="AL13" s="4">
        <f>IF(M13&gt;FargateVcpuQuota,"Above the default quota of 6 vCPU, which AWS marks adjustable","Inside the default quota of 6 vCPU")</f>
        <v/>
      </c>
      <c r="AM13" s="4">
        <f>IF(OR(B13&lt;1000,B13&gt;10000000,C13&lt;1000,C13&gt;10000000,D13&lt;1000,D13&gt;10000000,E13&lt;1000,E13&gt;10000000),"Outside 1,000 to 10,000,000","In range")</f>
        <v/>
      </c>
      <c r="AN13" s="52">
        <f>MAX(0.5,I13/AcuPerVcpu)*AuroraAcu*Hours+T13*AuroraGb</f>
        <v/>
      </c>
    </row>
    <row r="14" ht="22" customHeight="1">
      <c r="A14" s="4" t="inlineStr">
        <is>
          <t>Users alone at 10,000,000</t>
        </is>
      </c>
      <c r="B14" s="23" t="n">
        <v>10000000</v>
      </c>
      <c r="C14" s="23" t="n">
        <v>1000</v>
      </c>
      <c r="D14" s="23" t="n">
        <v>1000</v>
      </c>
      <c r="E14" s="23" t="n">
        <v>1000</v>
      </c>
      <c r="F14" s="50">
        <f>B14*ReqPerUser+C14*ReqPerBot+D14*ReqPerOffer+E14*ReqPerMessage</f>
        <v/>
      </c>
      <c r="G14" s="50">
        <f>F14/86400*Peak</f>
        <v/>
      </c>
      <c r="H14" s="50">
        <f>G14*AppVcpuS/CpuTarget</f>
        <v/>
      </c>
      <c r="I14" s="50">
        <f>G14*DbVcpuS/CpuTarget</f>
        <v/>
      </c>
      <c r="J14" s="25">
        <f>IF(MAX(1,ROUNDUP(H14/0.25,0))&lt;=TaskQuota,0.25,IF(MAX(1,ROUNDUP(H14/0.5,0))&lt;=TaskQuota,0.5,IF(MAX(1,ROUNDUP(H14/1,0))&lt;=TaskQuota,1,IF(MAX(1,ROUNDUP(H14/2,0))&lt;=TaskQuota,2,IF(MAX(1,ROUNDUP(H14/4,0))&lt;=TaskQuota,4,IF(MAX(1,ROUNDUP(H14/8,0))&lt;=TaskQuota,8,IF(MAX(1,ROUNDUP(H14/16,0))&lt;=TaskQuota,16,32)))))))</f>
        <v/>
      </c>
      <c r="K14" s="26">
        <f>MAX(1,ROUNDUP(H14/J14,0))</f>
        <v/>
      </c>
      <c r="L14" s="25">
        <f>IF(J14=0.25,0.5,IF(J14=0.5,1,IF(J14=1,2,IF(J14=2,4,IF(J14=4,8,IF(J14=8,16,IF(J14=16,32,60)))))))</f>
        <v/>
      </c>
      <c r="M14" s="50">
        <f>K14*J14</f>
        <v/>
      </c>
      <c r="N14" s="50">
        <f>K14*L14</f>
        <v/>
      </c>
      <c r="O14" s="50">
        <f>MAX(MinLcu,G14/ReqPerConn/25,(G14/ReqPerConn)*HoldS/3000,G14*3600*ReqKB*(1+RespMult)/1024/1024)</f>
        <v/>
      </c>
      <c r="P14" s="25">
        <f>AlbIpv4+IF(OR(NatOn=1,TaskPublicIp=0),0,K14)</f>
        <v/>
      </c>
      <c r="Q14" s="50">
        <f>MAX(1,(G14/ReqPerConn)*HoldS)</f>
        <v/>
      </c>
      <c r="R14" s="4">
        <f t="array" ref="R14">IFERROR(INDEX(ClassNames,MATCH(1,(ClassUse&gt;=I14)*(ClassCap&gt;=Q14),0)),"NO SINGLE-AZ CLASS")</f>
        <v/>
      </c>
      <c r="S14" s="51">
        <f t="array" ref="S14">IFERROR(INDEX(ClassPrices,MATCH(1,(ClassUse&gt;=I14)*(ClassCap&gt;=Q14),0)),INDEX(ClassPrices,MATCH(MAX(ClassVcpu),ClassVcpu,0)))</f>
        <v/>
      </c>
      <c r="T14" s="50">
        <f>MAX(DbFloor,F14*Hours/24/1000000*DbPerM)</f>
        <v/>
      </c>
      <c r="U14" s="50">
        <f>F14*Hours/24/1000000*LogPerM</f>
        <v/>
      </c>
      <c r="V14" s="50">
        <f>F14*Hours/24*ReqKB*(1+RespMult)/1024/1024</f>
        <v/>
      </c>
      <c r="W14" s="52">
        <f>K14*(J14*FargateCpuRate+L14*FargateMemRate)*Hours*3600</f>
        <v/>
      </c>
      <c r="X14" s="52">
        <f>Hours*AlbHourly</f>
        <v/>
      </c>
      <c r="Y14" s="52">
        <f>O14*LcuHourly*Hours</f>
        <v/>
      </c>
      <c r="Z14" s="52">
        <f>P14*Ipv4Hourly*Hours</f>
        <v/>
      </c>
      <c r="AA14" s="52">
        <f>S14*Hours</f>
        <v/>
      </c>
      <c r="AB14" s="52">
        <f>T14*Gp3Rate</f>
        <v/>
      </c>
      <c r="AC14" s="52">
        <f>SecretCount*SecretMonthly+SecretCalls/10000*SecretApiRate</f>
        <v/>
      </c>
      <c r="AD14" s="52">
        <f>MAX(0,U14-CwFreeGb)*(CwIngest+CwStore)</f>
        <v/>
      </c>
      <c r="AE14" s="52">
        <f>MAX(0,V14-XferFreeGb)*XferRate</f>
        <v/>
      </c>
      <c r="AF14" s="52">
        <f>IF(NatOn=1,Hours*NatHourly+V14*NatPerGb,0)</f>
        <v/>
      </c>
      <c r="AG14" s="52">
        <f>0</f>
        <v/>
      </c>
      <c r="AH14" s="53">
        <f>W14+X14+Y14+Z14+AA14+AB14+AC14+AD14+AE14+AF14+AG14</f>
        <v/>
      </c>
      <c r="AI14" s="52">
        <f>ROUND(AH14,2)</f>
        <v/>
      </c>
      <c r="AJ14" s="4">
        <f>IF(H14&gt;TaskQuota*FargateMaxVcpu,"Larger shape",IF(K14&gt;TaskQuota,"Larger shape",IF(J14&gt;0.25,"One service, task size raised to stay under the tasks-per-service quota",IF(K14&gt;ExpressMax,"One service, raise the Express max of 20 tasks","Fits one ECS Express service"))))</f>
        <v/>
      </c>
      <c r="AK14" s="4">
        <f>IF(I14&gt;MAX(ClassUse),"No single-AZ class covers the assumed CPU",IF(Q14&gt;MAX(ClassCap),"No single-AZ class covers the assumed connections","Covered"))</f>
        <v/>
      </c>
      <c r="AL14" s="4">
        <f>IF(M14&gt;FargateVcpuQuota,"Above the default quota of 6 vCPU, which AWS marks adjustable","Inside the default quota of 6 vCPU")</f>
        <v/>
      </c>
      <c r="AM14" s="4">
        <f>IF(OR(B14&lt;1000,B14&gt;10000000,C14&lt;1000,C14&gt;10000000,D14&lt;1000,D14&gt;10000000,E14&lt;1000,E14&gt;10000000),"Outside 1,000 to 10,000,000","In range")</f>
        <v/>
      </c>
      <c r="AN14" s="52">
        <f>MAX(0.5,I14/AcuPerVcpu)*AuroraAcu*Hours+T14*AuroraGb</f>
        <v/>
      </c>
    </row>
    <row r="15" ht="22" customHeight="1">
      <c r="A15" s="4" t="inlineStr">
        <is>
          <t>Bots alone at 1,000</t>
        </is>
      </c>
      <c r="B15" s="23" t="n">
        <v>1000</v>
      </c>
      <c r="C15" s="23" t="n">
        <v>1000</v>
      </c>
      <c r="D15" s="23" t="n">
        <v>1000</v>
      </c>
      <c r="E15" s="23" t="n">
        <v>1000</v>
      </c>
      <c r="F15" s="50">
        <f>B15*ReqPerUser+C15*ReqPerBot+D15*ReqPerOffer+E15*ReqPerMessage</f>
        <v/>
      </c>
      <c r="G15" s="50">
        <f>F15/86400*Peak</f>
        <v/>
      </c>
      <c r="H15" s="50">
        <f>G15*AppVcpuS/CpuTarget</f>
        <v/>
      </c>
      <c r="I15" s="50">
        <f>G15*DbVcpuS/CpuTarget</f>
        <v/>
      </c>
      <c r="J15" s="25">
        <f>IF(MAX(1,ROUNDUP(H15/0.25,0))&lt;=TaskQuota,0.25,IF(MAX(1,ROUNDUP(H15/0.5,0))&lt;=TaskQuota,0.5,IF(MAX(1,ROUNDUP(H15/1,0))&lt;=TaskQuota,1,IF(MAX(1,ROUNDUP(H15/2,0))&lt;=TaskQuota,2,IF(MAX(1,ROUNDUP(H15/4,0))&lt;=TaskQuota,4,IF(MAX(1,ROUNDUP(H15/8,0))&lt;=TaskQuota,8,IF(MAX(1,ROUNDUP(H15/16,0))&lt;=TaskQuota,16,32)))))))</f>
        <v/>
      </c>
      <c r="K15" s="26">
        <f>MAX(1,ROUNDUP(H15/J15,0))</f>
        <v/>
      </c>
      <c r="L15" s="25">
        <f>IF(J15=0.25,0.5,IF(J15=0.5,1,IF(J15=1,2,IF(J15=2,4,IF(J15=4,8,IF(J15=8,16,IF(J15=16,32,60)))))))</f>
        <v/>
      </c>
      <c r="M15" s="50">
        <f>K15*J15</f>
        <v/>
      </c>
      <c r="N15" s="50">
        <f>K15*L15</f>
        <v/>
      </c>
      <c r="O15" s="50">
        <f>MAX(MinLcu,G15/ReqPerConn/25,(G15/ReqPerConn)*HoldS/3000,G15*3600*ReqKB*(1+RespMult)/1024/1024)</f>
        <v/>
      </c>
      <c r="P15" s="25">
        <f>AlbIpv4+IF(OR(NatOn=1,TaskPublicIp=0),0,K15)</f>
        <v/>
      </c>
      <c r="Q15" s="50">
        <f>MAX(1,(G15/ReqPerConn)*HoldS)</f>
        <v/>
      </c>
      <c r="R15" s="4">
        <f t="array" ref="R15">IFERROR(INDEX(ClassNames,MATCH(1,(ClassUse&gt;=I15)*(ClassCap&gt;=Q15),0)),"NO SINGLE-AZ CLASS")</f>
        <v/>
      </c>
      <c r="S15" s="51">
        <f t="array" ref="S15">IFERROR(INDEX(ClassPrices,MATCH(1,(ClassUse&gt;=I15)*(ClassCap&gt;=Q15),0)),INDEX(ClassPrices,MATCH(MAX(ClassVcpu),ClassVcpu,0)))</f>
        <v/>
      </c>
      <c r="T15" s="50">
        <f>MAX(DbFloor,F15*Hours/24/1000000*DbPerM)</f>
        <v/>
      </c>
      <c r="U15" s="50">
        <f>F15*Hours/24/1000000*LogPerM</f>
        <v/>
      </c>
      <c r="V15" s="50">
        <f>F15*Hours/24*ReqKB*(1+RespMult)/1024/1024</f>
        <v/>
      </c>
      <c r="W15" s="52">
        <f>K15*(J15*FargateCpuRate+L15*FargateMemRate)*Hours*3600</f>
        <v/>
      </c>
      <c r="X15" s="52">
        <f>Hours*AlbHourly</f>
        <v/>
      </c>
      <c r="Y15" s="52">
        <f>O15*LcuHourly*Hours</f>
        <v/>
      </c>
      <c r="Z15" s="52">
        <f>P15*Ipv4Hourly*Hours</f>
        <v/>
      </c>
      <c r="AA15" s="52">
        <f>S15*Hours</f>
        <v/>
      </c>
      <c r="AB15" s="52">
        <f>T15*Gp3Rate</f>
        <v/>
      </c>
      <c r="AC15" s="52">
        <f>SecretCount*SecretMonthly+SecretCalls/10000*SecretApiRate</f>
        <v/>
      </c>
      <c r="AD15" s="52">
        <f>MAX(0,U15-CwFreeGb)*(CwIngest+CwStore)</f>
        <v/>
      </c>
      <c r="AE15" s="52">
        <f>MAX(0,V15-XferFreeGb)*XferRate</f>
        <v/>
      </c>
      <c r="AF15" s="52">
        <f>IF(NatOn=1,Hours*NatHourly+V15*NatPerGb,0)</f>
        <v/>
      </c>
      <c r="AG15" s="52">
        <f>0</f>
        <v/>
      </c>
      <c r="AH15" s="53">
        <f>W15+X15+Y15+Z15+AA15+AB15+AC15+AD15+AE15+AF15+AG15</f>
        <v/>
      </c>
      <c r="AI15" s="52">
        <f>ROUND(AH15,2)</f>
        <v/>
      </c>
      <c r="AJ15" s="4">
        <f>IF(H15&gt;TaskQuota*FargateMaxVcpu,"Larger shape",IF(K15&gt;TaskQuota,"Larger shape",IF(J15&gt;0.25,"One service, task size raised to stay under the tasks-per-service quota",IF(K15&gt;ExpressMax,"One service, raise the Express max of 20 tasks","Fits one ECS Express service"))))</f>
        <v/>
      </c>
      <c r="AK15" s="4">
        <f>IF(I15&gt;MAX(ClassUse),"No single-AZ class covers the assumed CPU",IF(Q15&gt;MAX(ClassCap),"No single-AZ class covers the assumed connections","Covered"))</f>
        <v/>
      </c>
      <c r="AL15" s="4">
        <f>IF(M15&gt;FargateVcpuQuota,"Above the default quota of 6 vCPU, which AWS marks adjustable","Inside the default quota of 6 vCPU")</f>
        <v/>
      </c>
      <c r="AM15" s="4">
        <f>IF(OR(B15&lt;1000,B15&gt;10000000,C15&lt;1000,C15&gt;10000000,D15&lt;1000,D15&gt;10000000,E15&lt;1000,E15&gt;10000000),"Outside 1,000 to 10,000,000","In range")</f>
        <v/>
      </c>
      <c r="AN15" s="52">
        <f>MAX(0.5,I15/AcuPerVcpu)*AuroraAcu*Hours+T15*AuroraGb</f>
        <v/>
      </c>
    </row>
    <row r="16" ht="22" customHeight="1">
      <c r="A16" s="4" t="inlineStr">
        <is>
          <t>Bots alone at 10,000</t>
        </is>
      </c>
      <c r="B16" s="23" t="n">
        <v>1000</v>
      </c>
      <c r="C16" s="23" t="n">
        <v>10000</v>
      </c>
      <c r="D16" s="23" t="n">
        <v>1000</v>
      </c>
      <c r="E16" s="23" t="n">
        <v>1000</v>
      </c>
      <c r="F16" s="50">
        <f>B16*ReqPerUser+C16*ReqPerBot+D16*ReqPerOffer+E16*ReqPerMessage</f>
        <v/>
      </c>
      <c r="G16" s="50">
        <f>F16/86400*Peak</f>
        <v/>
      </c>
      <c r="H16" s="50">
        <f>G16*AppVcpuS/CpuTarget</f>
        <v/>
      </c>
      <c r="I16" s="50">
        <f>G16*DbVcpuS/CpuTarget</f>
        <v/>
      </c>
      <c r="J16" s="25">
        <f>IF(MAX(1,ROUNDUP(H16/0.25,0))&lt;=TaskQuota,0.25,IF(MAX(1,ROUNDUP(H16/0.5,0))&lt;=TaskQuota,0.5,IF(MAX(1,ROUNDUP(H16/1,0))&lt;=TaskQuota,1,IF(MAX(1,ROUNDUP(H16/2,0))&lt;=TaskQuota,2,IF(MAX(1,ROUNDUP(H16/4,0))&lt;=TaskQuota,4,IF(MAX(1,ROUNDUP(H16/8,0))&lt;=TaskQuota,8,IF(MAX(1,ROUNDUP(H16/16,0))&lt;=TaskQuota,16,32)))))))</f>
        <v/>
      </c>
      <c r="K16" s="26">
        <f>MAX(1,ROUNDUP(H16/J16,0))</f>
        <v/>
      </c>
      <c r="L16" s="25">
        <f>IF(J16=0.25,0.5,IF(J16=0.5,1,IF(J16=1,2,IF(J16=2,4,IF(J16=4,8,IF(J16=8,16,IF(J16=16,32,60)))))))</f>
        <v/>
      </c>
      <c r="M16" s="50">
        <f>K16*J16</f>
        <v/>
      </c>
      <c r="N16" s="50">
        <f>K16*L16</f>
        <v/>
      </c>
      <c r="O16" s="50">
        <f>MAX(MinLcu,G16/ReqPerConn/25,(G16/ReqPerConn)*HoldS/3000,G16*3600*ReqKB*(1+RespMult)/1024/1024)</f>
        <v/>
      </c>
      <c r="P16" s="25">
        <f>AlbIpv4+IF(OR(NatOn=1,TaskPublicIp=0),0,K16)</f>
        <v/>
      </c>
      <c r="Q16" s="50">
        <f>MAX(1,(G16/ReqPerConn)*HoldS)</f>
        <v/>
      </c>
      <c r="R16" s="4">
        <f t="array" ref="R16">IFERROR(INDEX(ClassNames,MATCH(1,(ClassUse&gt;=I16)*(ClassCap&gt;=Q16),0)),"NO SINGLE-AZ CLASS")</f>
        <v/>
      </c>
      <c r="S16" s="51">
        <f t="array" ref="S16">IFERROR(INDEX(ClassPrices,MATCH(1,(ClassUse&gt;=I16)*(ClassCap&gt;=Q16),0)),INDEX(ClassPrices,MATCH(MAX(ClassVcpu),ClassVcpu,0)))</f>
        <v/>
      </c>
      <c r="T16" s="50">
        <f>MAX(DbFloor,F16*Hours/24/1000000*DbPerM)</f>
        <v/>
      </c>
      <c r="U16" s="50">
        <f>F16*Hours/24/1000000*LogPerM</f>
        <v/>
      </c>
      <c r="V16" s="50">
        <f>F16*Hours/24*ReqKB*(1+RespMult)/1024/1024</f>
        <v/>
      </c>
      <c r="W16" s="52">
        <f>K16*(J16*FargateCpuRate+L16*FargateMemRate)*Hours*3600</f>
        <v/>
      </c>
      <c r="X16" s="52">
        <f>Hours*AlbHourly</f>
        <v/>
      </c>
      <c r="Y16" s="52">
        <f>O16*LcuHourly*Hours</f>
        <v/>
      </c>
      <c r="Z16" s="52">
        <f>P16*Ipv4Hourly*Hours</f>
        <v/>
      </c>
      <c r="AA16" s="52">
        <f>S16*Hours</f>
        <v/>
      </c>
      <c r="AB16" s="52">
        <f>T16*Gp3Rate</f>
        <v/>
      </c>
      <c r="AC16" s="52">
        <f>SecretCount*SecretMonthly+SecretCalls/10000*SecretApiRate</f>
        <v/>
      </c>
      <c r="AD16" s="52">
        <f>MAX(0,U16-CwFreeGb)*(CwIngest+CwStore)</f>
        <v/>
      </c>
      <c r="AE16" s="52">
        <f>MAX(0,V16-XferFreeGb)*XferRate</f>
        <v/>
      </c>
      <c r="AF16" s="52">
        <f>IF(NatOn=1,Hours*NatHourly+V16*NatPerGb,0)</f>
        <v/>
      </c>
      <c r="AG16" s="52">
        <f>0</f>
        <v/>
      </c>
      <c r="AH16" s="53">
        <f>W16+X16+Y16+Z16+AA16+AB16+AC16+AD16+AE16+AF16+AG16</f>
        <v/>
      </c>
      <c r="AI16" s="52">
        <f>ROUND(AH16,2)</f>
        <v/>
      </c>
      <c r="AJ16" s="4">
        <f>IF(H16&gt;TaskQuota*FargateMaxVcpu,"Larger shape",IF(K16&gt;TaskQuota,"Larger shape",IF(J16&gt;0.25,"One service, task size raised to stay under the tasks-per-service quota",IF(K16&gt;ExpressMax,"One service, raise the Express max of 20 tasks","Fits one ECS Express service"))))</f>
        <v/>
      </c>
      <c r="AK16" s="4">
        <f>IF(I16&gt;MAX(ClassUse),"No single-AZ class covers the assumed CPU",IF(Q16&gt;MAX(ClassCap),"No single-AZ class covers the assumed connections","Covered"))</f>
        <v/>
      </c>
      <c r="AL16" s="4">
        <f>IF(M16&gt;FargateVcpuQuota,"Above the default quota of 6 vCPU, which AWS marks adjustable","Inside the default quota of 6 vCPU")</f>
        <v/>
      </c>
      <c r="AM16" s="4">
        <f>IF(OR(B16&lt;1000,B16&gt;10000000,C16&lt;1000,C16&gt;10000000,D16&lt;1000,D16&gt;10000000,E16&lt;1000,E16&gt;10000000),"Outside 1,000 to 10,000,000","In range")</f>
        <v/>
      </c>
      <c r="AN16" s="52">
        <f>MAX(0.5,I16/AcuPerVcpu)*AuroraAcu*Hours+T16*AuroraGb</f>
        <v/>
      </c>
    </row>
    <row r="17" ht="22" customHeight="1">
      <c r="A17" s="4" t="inlineStr">
        <is>
          <t>Bots alone at 100,000</t>
        </is>
      </c>
      <c r="B17" s="23" t="n">
        <v>1000</v>
      </c>
      <c r="C17" s="23" t="n">
        <v>100000</v>
      </c>
      <c r="D17" s="23" t="n">
        <v>1000</v>
      </c>
      <c r="E17" s="23" t="n">
        <v>1000</v>
      </c>
      <c r="F17" s="50">
        <f>B17*ReqPerUser+C17*ReqPerBot+D17*ReqPerOffer+E17*ReqPerMessage</f>
        <v/>
      </c>
      <c r="G17" s="50">
        <f>F17/86400*Peak</f>
        <v/>
      </c>
      <c r="H17" s="50">
        <f>G17*AppVcpuS/CpuTarget</f>
        <v/>
      </c>
      <c r="I17" s="50">
        <f>G17*DbVcpuS/CpuTarget</f>
        <v/>
      </c>
      <c r="J17" s="25">
        <f>IF(MAX(1,ROUNDUP(H17/0.25,0))&lt;=TaskQuota,0.25,IF(MAX(1,ROUNDUP(H17/0.5,0))&lt;=TaskQuota,0.5,IF(MAX(1,ROUNDUP(H17/1,0))&lt;=TaskQuota,1,IF(MAX(1,ROUNDUP(H17/2,0))&lt;=TaskQuota,2,IF(MAX(1,ROUNDUP(H17/4,0))&lt;=TaskQuota,4,IF(MAX(1,ROUNDUP(H17/8,0))&lt;=TaskQuota,8,IF(MAX(1,ROUNDUP(H17/16,0))&lt;=TaskQuota,16,32)))))))</f>
        <v/>
      </c>
      <c r="K17" s="26">
        <f>MAX(1,ROUNDUP(H17/J17,0))</f>
        <v/>
      </c>
      <c r="L17" s="25">
        <f>IF(J17=0.25,0.5,IF(J17=0.5,1,IF(J17=1,2,IF(J17=2,4,IF(J17=4,8,IF(J17=8,16,IF(J17=16,32,60)))))))</f>
        <v/>
      </c>
      <c r="M17" s="50">
        <f>K17*J17</f>
        <v/>
      </c>
      <c r="N17" s="50">
        <f>K17*L17</f>
        <v/>
      </c>
      <c r="O17" s="50">
        <f>MAX(MinLcu,G17/ReqPerConn/25,(G17/ReqPerConn)*HoldS/3000,G17*3600*ReqKB*(1+RespMult)/1024/1024)</f>
        <v/>
      </c>
      <c r="P17" s="25">
        <f>AlbIpv4+IF(OR(NatOn=1,TaskPublicIp=0),0,K17)</f>
        <v/>
      </c>
      <c r="Q17" s="50">
        <f>MAX(1,(G17/ReqPerConn)*HoldS)</f>
        <v/>
      </c>
      <c r="R17" s="4">
        <f t="array" ref="R17">IFERROR(INDEX(ClassNames,MATCH(1,(ClassUse&gt;=I17)*(ClassCap&gt;=Q17),0)),"NO SINGLE-AZ CLASS")</f>
        <v/>
      </c>
      <c r="S17" s="51">
        <f t="array" ref="S17">IFERROR(INDEX(ClassPrices,MATCH(1,(ClassUse&gt;=I17)*(ClassCap&gt;=Q17),0)),INDEX(ClassPrices,MATCH(MAX(ClassVcpu),ClassVcpu,0)))</f>
        <v/>
      </c>
      <c r="T17" s="50">
        <f>MAX(DbFloor,F17*Hours/24/1000000*DbPerM)</f>
        <v/>
      </c>
      <c r="U17" s="50">
        <f>F17*Hours/24/1000000*LogPerM</f>
        <v/>
      </c>
      <c r="V17" s="50">
        <f>F17*Hours/24*ReqKB*(1+RespMult)/1024/1024</f>
        <v/>
      </c>
      <c r="W17" s="52">
        <f>K17*(J17*FargateCpuRate+L17*FargateMemRate)*Hours*3600</f>
        <v/>
      </c>
      <c r="X17" s="52">
        <f>Hours*AlbHourly</f>
        <v/>
      </c>
      <c r="Y17" s="52">
        <f>O17*LcuHourly*Hours</f>
        <v/>
      </c>
      <c r="Z17" s="52">
        <f>P17*Ipv4Hourly*Hours</f>
        <v/>
      </c>
      <c r="AA17" s="52">
        <f>S17*Hours</f>
        <v/>
      </c>
      <c r="AB17" s="52">
        <f>T17*Gp3Rate</f>
        <v/>
      </c>
      <c r="AC17" s="52">
        <f>SecretCount*SecretMonthly+SecretCalls/10000*SecretApiRate</f>
        <v/>
      </c>
      <c r="AD17" s="52">
        <f>MAX(0,U17-CwFreeGb)*(CwIngest+CwStore)</f>
        <v/>
      </c>
      <c r="AE17" s="52">
        <f>MAX(0,V17-XferFreeGb)*XferRate</f>
        <v/>
      </c>
      <c r="AF17" s="52">
        <f>IF(NatOn=1,Hours*NatHourly+V17*NatPerGb,0)</f>
        <v/>
      </c>
      <c r="AG17" s="52">
        <f>0</f>
        <v/>
      </c>
      <c r="AH17" s="53">
        <f>W17+X17+Y17+Z17+AA17+AB17+AC17+AD17+AE17+AF17+AG17</f>
        <v/>
      </c>
      <c r="AI17" s="52">
        <f>ROUND(AH17,2)</f>
        <v/>
      </c>
      <c r="AJ17" s="4">
        <f>IF(H17&gt;TaskQuota*FargateMaxVcpu,"Larger shape",IF(K17&gt;TaskQuota,"Larger shape",IF(J17&gt;0.25,"One service, task size raised to stay under the tasks-per-service quota",IF(K17&gt;ExpressMax,"One service, raise the Express max of 20 tasks","Fits one ECS Express service"))))</f>
        <v/>
      </c>
      <c r="AK17" s="4">
        <f>IF(I17&gt;MAX(ClassUse),"No single-AZ class covers the assumed CPU",IF(Q17&gt;MAX(ClassCap),"No single-AZ class covers the assumed connections","Covered"))</f>
        <v/>
      </c>
      <c r="AL17" s="4">
        <f>IF(M17&gt;FargateVcpuQuota,"Above the default quota of 6 vCPU, which AWS marks adjustable","Inside the default quota of 6 vCPU")</f>
        <v/>
      </c>
      <c r="AM17" s="4">
        <f>IF(OR(B17&lt;1000,B17&gt;10000000,C17&lt;1000,C17&gt;10000000,D17&lt;1000,D17&gt;10000000,E17&lt;1000,E17&gt;10000000),"Outside 1,000 to 10,000,000","In range")</f>
        <v/>
      </c>
      <c r="AN17" s="52">
        <f>MAX(0.5,I17/AcuPerVcpu)*AuroraAcu*Hours+T17*AuroraGb</f>
        <v/>
      </c>
    </row>
    <row r="18" ht="22" customHeight="1">
      <c r="A18" s="4" t="inlineStr">
        <is>
          <t>Bots alone at 1,000,000</t>
        </is>
      </c>
      <c r="B18" s="23" t="n">
        <v>1000</v>
      </c>
      <c r="C18" s="23" t="n">
        <v>1000000</v>
      </c>
      <c r="D18" s="23" t="n">
        <v>1000</v>
      </c>
      <c r="E18" s="23" t="n">
        <v>1000</v>
      </c>
      <c r="F18" s="50">
        <f>B18*ReqPerUser+C18*ReqPerBot+D18*ReqPerOffer+E18*ReqPerMessage</f>
        <v/>
      </c>
      <c r="G18" s="50">
        <f>F18/86400*Peak</f>
        <v/>
      </c>
      <c r="H18" s="50">
        <f>G18*AppVcpuS/CpuTarget</f>
        <v/>
      </c>
      <c r="I18" s="50">
        <f>G18*DbVcpuS/CpuTarget</f>
        <v/>
      </c>
      <c r="J18" s="25">
        <f>IF(MAX(1,ROUNDUP(H18/0.25,0))&lt;=TaskQuota,0.25,IF(MAX(1,ROUNDUP(H18/0.5,0))&lt;=TaskQuota,0.5,IF(MAX(1,ROUNDUP(H18/1,0))&lt;=TaskQuota,1,IF(MAX(1,ROUNDUP(H18/2,0))&lt;=TaskQuota,2,IF(MAX(1,ROUNDUP(H18/4,0))&lt;=TaskQuota,4,IF(MAX(1,ROUNDUP(H18/8,0))&lt;=TaskQuota,8,IF(MAX(1,ROUNDUP(H18/16,0))&lt;=TaskQuota,16,32)))))))</f>
        <v/>
      </c>
      <c r="K18" s="26">
        <f>MAX(1,ROUNDUP(H18/J18,0))</f>
        <v/>
      </c>
      <c r="L18" s="25">
        <f>IF(J18=0.25,0.5,IF(J18=0.5,1,IF(J18=1,2,IF(J18=2,4,IF(J18=4,8,IF(J18=8,16,IF(J18=16,32,60)))))))</f>
        <v/>
      </c>
      <c r="M18" s="50">
        <f>K18*J18</f>
        <v/>
      </c>
      <c r="N18" s="50">
        <f>K18*L18</f>
        <v/>
      </c>
      <c r="O18" s="50">
        <f>MAX(MinLcu,G18/ReqPerConn/25,(G18/ReqPerConn)*HoldS/3000,G18*3600*ReqKB*(1+RespMult)/1024/1024)</f>
        <v/>
      </c>
      <c r="P18" s="25">
        <f>AlbIpv4+IF(OR(NatOn=1,TaskPublicIp=0),0,K18)</f>
        <v/>
      </c>
      <c r="Q18" s="50">
        <f>MAX(1,(G18/ReqPerConn)*HoldS)</f>
        <v/>
      </c>
      <c r="R18" s="4">
        <f t="array" ref="R18">IFERROR(INDEX(ClassNames,MATCH(1,(ClassUse&gt;=I18)*(ClassCap&gt;=Q18),0)),"NO SINGLE-AZ CLASS")</f>
        <v/>
      </c>
      <c r="S18" s="51">
        <f t="array" ref="S18">IFERROR(INDEX(ClassPrices,MATCH(1,(ClassUse&gt;=I18)*(ClassCap&gt;=Q18),0)),INDEX(ClassPrices,MATCH(MAX(ClassVcpu),ClassVcpu,0)))</f>
        <v/>
      </c>
      <c r="T18" s="50">
        <f>MAX(DbFloor,F18*Hours/24/1000000*DbPerM)</f>
        <v/>
      </c>
      <c r="U18" s="50">
        <f>F18*Hours/24/1000000*LogPerM</f>
        <v/>
      </c>
      <c r="V18" s="50">
        <f>F18*Hours/24*ReqKB*(1+RespMult)/1024/1024</f>
        <v/>
      </c>
      <c r="W18" s="52">
        <f>K18*(J18*FargateCpuRate+L18*FargateMemRate)*Hours*3600</f>
        <v/>
      </c>
      <c r="X18" s="52">
        <f>Hours*AlbHourly</f>
        <v/>
      </c>
      <c r="Y18" s="52">
        <f>O18*LcuHourly*Hours</f>
        <v/>
      </c>
      <c r="Z18" s="52">
        <f>P18*Ipv4Hourly*Hours</f>
        <v/>
      </c>
      <c r="AA18" s="52">
        <f>S18*Hours</f>
        <v/>
      </c>
      <c r="AB18" s="52">
        <f>T18*Gp3Rate</f>
        <v/>
      </c>
      <c r="AC18" s="52">
        <f>SecretCount*SecretMonthly+SecretCalls/10000*SecretApiRate</f>
        <v/>
      </c>
      <c r="AD18" s="52">
        <f>MAX(0,U18-CwFreeGb)*(CwIngest+CwStore)</f>
        <v/>
      </c>
      <c r="AE18" s="52">
        <f>MAX(0,V18-XferFreeGb)*XferRate</f>
        <v/>
      </c>
      <c r="AF18" s="52">
        <f>IF(NatOn=1,Hours*NatHourly+V18*NatPerGb,0)</f>
        <v/>
      </c>
      <c r="AG18" s="52">
        <f>0</f>
        <v/>
      </c>
      <c r="AH18" s="53">
        <f>W18+X18+Y18+Z18+AA18+AB18+AC18+AD18+AE18+AF18+AG18</f>
        <v/>
      </c>
      <c r="AI18" s="52">
        <f>ROUND(AH18,2)</f>
        <v/>
      </c>
      <c r="AJ18" s="4">
        <f>IF(H18&gt;TaskQuota*FargateMaxVcpu,"Larger shape",IF(K18&gt;TaskQuota,"Larger shape",IF(J18&gt;0.25,"One service, task size raised to stay under the tasks-per-service quota",IF(K18&gt;ExpressMax,"One service, raise the Express max of 20 tasks","Fits one ECS Express service"))))</f>
        <v/>
      </c>
      <c r="AK18" s="4">
        <f>IF(I18&gt;MAX(ClassUse),"No single-AZ class covers the assumed CPU",IF(Q18&gt;MAX(ClassCap),"No single-AZ class covers the assumed connections","Covered"))</f>
        <v/>
      </c>
      <c r="AL18" s="4">
        <f>IF(M18&gt;FargateVcpuQuota,"Above the default quota of 6 vCPU, which AWS marks adjustable","Inside the default quota of 6 vCPU")</f>
        <v/>
      </c>
      <c r="AM18" s="4">
        <f>IF(OR(B18&lt;1000,B18&gt;10000000,C18&lt;1000,C18&gt;10000000,D18&lt;1000,D18&gt;10000000,E18&lt;1000,E18&gt;10000000),"Outside 1,000 to 10,000,000","In range")</f>
        <v/>
      </c>
      <c r="AN18" s="52">
        <f>MAX(0.5,I18/AcuPerVcpu)*AuroraAcu*Hours+T18*AuroraGb</f>
        <v/>
      </c>
    </row>
    <row r="19" ht="22" customHeight="1">
      <c r="A19" s="4" t="inlineStr">
        <is>
          <t>Bots alone at 10,000,000</t>
        </is>
      </c>
      <c r="B19" s="23" t="n">
        <v>1000</v>
      </c>
      <c r="C19" s="23" t="n">
        <v>10000000</v>
      </c>
      <c r="D19" s="23" t="n">
        <v>1000</v>
      </c>
      <c r="E19" s="23" t="n">
        <v>1000</v>
      </c>
      <c r="F19" s="50">
        <f>B19*ReqPerUser+C19*ReqPerBot+D19*ReqPerOffer+E19*ReqPerMessage</f>
        <v/>
      </c>
      <c r="G19" s="50">
        <f>F19/86400*Peak</f>
        <v/>
      </c>
      <c r="H19" s="50">
        <f>G19*AppVcpuS/CpuTarget</f>
        <v/>
      </c>
      <c r="I19" s="50">
        <f>G19*DbVcpuS/CpuTarget</f>
        <v/>
      </c>
      <c r="J19" s="25">
        <f>IF(MAX(1,ROUNDUP(H19/0.25,0))&lt;=TaskQuota,0.25,IF(MAX(1,ROUNDUP(H19/0.5,0))&lt;=TaskQuota,0.5,IF(MAX(1,ROUNDUP(H19/1,0))&lt;=TaskQuota,1,IF(MAX(1,ROUNDUP(H19/2,0))&lt;=TaskQuota,2,IF(MAX(1,ROUNDUP(H19/4,0))&lt;=TaskQuota,4,IF(MAX(1,ROUNDUP(H19/8,0))&lt;=TaskQuota,8,IF(MAX(1,ROUNDUP(H19/16,0))&lt;=TaskQuota,16,32)))))))</f>
        <v/>
      </c>
      <c r="K19" s="26">
        <f>MAX(1,ROUNDUP(H19/J19,0))</f>
        <v/>
      </c>
      <c r="L19" s="25">
        <f>IF(J19=0.25,0.5,IF(J19=0.5,1,IF(J19=1,2,IF(J19=2,4,IF(J19=4,8,IF(J19=8,16,IF(J19=16,32,60)))))))</f>
        <v/>
      </c>
      <c r="M19" s="50">
        <f>K19*J19</f>
        <v/>
      </c>
      <c r="N19" s="50">
        <f>K19*L19</f>
        <v/>
      </c>
      <c r="O19" s="50">
        <f>MAX(MinLcu,G19/ReqPerConn/25,(G19/ReqPerConn)*HoldS/3000,G19*3600*ReqKB*(1+RespMult)/1024/1024)</f>
        <v/>
      </c>
      <c r="P19" s="25">
        <f>AlbIpv4+IF(OR(NatOn=1,TaskPublicIp=0),0,K19)</f>
        <v/>
      </c>
      <c r="Q19" s="50">
        <f>MAX(1,(G19/ReqPerConn)*HoldS)</f>
        <v/>
      </c>
      <c r="R19" s="4">
        <f t="array" ref="R19">IFERROR(INDEX(ClassNames,MATCH(1,(ClassUse&gt;=I19)*(ClassCap&gt;=Q19),0)),"NO SINGLE-AZ CLASS")</f>
        <v/>
      </c>
      <c r="S19" s="51">
        <f t="array" ref="S19">IFERROR(INDEX(ClassPrices,MATCH(1,(ClassUse&gt;=I19)*(ClassCap&gt;=Q19),0)),INDEX(ClassPrices,MATCH(MAX(ClassVcpu),ClassVcpu,0)))</f>
        <v/>
      </c>
      <c r="T19" s="50">
        <f>MAX(DbFloor,F19*Hours/24/1000000*DbPerM)</f>
        <v/>
      </c>
      <c r="U19" s="50">
        <f>F19*Hours/24/1000000*LogPerM</f>
        <v/>
      </c>
      <c r="V19" s="50">
        <f>F19*Hours/24*ReqKB*(1+RespMult)/1024/1024</f>
        <v/>
      </c>
      <c r="W19" s="52">
        <f>K19*(J19*FargateCpuRate+L19*FargateMemRate)*Hours*3600</f>
        <v/>
      </c>
      <c r="X19" s="52">
        <f>Hours*AlbHourly</f>
        <v/>
      </c>
      <c r="Y19" s="52">
        <f>O19*LcuHourly*Hours</f>
        <v/>
      </c>
      <c r="Z19" s="52">
        <f>P19*Ipv4Hourly*Hours</f>
        <v/>
      </c>
      <c r="AA19" s="52">
        <f>S19*Hours</f>
        <v/>
      </c>
      <c r="AB19" s="52">
        <f>T19*Gp3Rate</f>
        <v/>
      </c>
      <c r="AC19" s="52">
        <f>SecretCount*SecretMonthly+SecretCalls/10000*SecretApiRate</f>
        <v/>
      </c>
      <c r="AD19" s="52">
        <f>MAX(0,U19-CwFreeGb)*(CwIngest+CwStore)</f>
        <v/>
      </c>
      <c r="AE19" s="52">
        <f>MAX(0,V19-XferFreeGb)*XferRate</f>
        <v/>
      </c>
      <c r="AF19" s="52">
        <f>IF(NatOn=1,Hours*NatHourly+V19*NatPerGb,0)</f>
        <v/>
      </c>
      <c r="AG19" s="52">
        <f>0</f>
        <v/>
      </c>
      <c r="AH19" s="53">
        <f>W19+X19+Y19+Z19+AA19+AB19+AC19+AD19+AE19+AF19+AG19</f>
        <v/>
      </c>
      <c r="AI19" s="52">
        <f>ROUND(AH19,2)</f>
        <v/>
      </c>
      <c r="AJ19" s="4">
        <f>IF(H19&gt;TaskQuota*FargateMaxVcpu,"Larger shape",IF(K19&gt;TaskQuota,"Larger shape",IF(J19&gt;0.25,"One service, task size raised to stay under the tasks-per-service quota",IF(K19&gt;ExpressMax,"One service, raise the Express max of 20 tasks","Fits one ECS Express service"))))</f>
        <v/>
      </c>
      <c r="AK19" s="4">
        <f>IF(I19&gt;MAX(ClassUse),"No single-AZ class covers the assumed CPU",IF(Q19&gt;MAX(ClassCap),"No single-AZ class covers the assumed connections","Covered"))</f>
        <v/>
      </c>
      <c r="AL19" s="4">
        <f>IF(M19&gt;FargateVcpuQuota,"Above the default quota of 6 vCPU, which AWS marks adjustable","Inside the default quota of 6 vCPU")</f>
        <v/>
      </c>
      <c r="AM19" s="4">
        <f>IF(OR(B19&lt;1000,B19&gt;10000000,C19&lt;1000,C19&gt;10000000,D19&lt;1000,D19&gt;10000000,E19&lt;1000,E19&gt;10000000),"Outside 1,000 to 10,000,000","In range")</f>
        <v/>
      </c>
      <c r="AN19" s="52">
        <f>MAX(0.5,I19/AcuPerVcpu)*AuroraAcu*Hours+T19*AuroraGb</f>
        <v/>
      </c>
    </row>
    <row r="20" ht="22" customHeight="1">
      <c r="A20" s="4" t="inlineStr">
        <is>
          <t>Offers alone at 1,000</t>
        </is>
      </c>
      <c r="B20" s="23" t="n">
        <v>1000</v>
      </c>
      <c r="C20" s="23" t="n">
        <v>1000</v>
      </c>
      <c r="D20" s="23" t="n">
        <v>1000</v>
      </c>
      <c r="E20" s="23" t="n">
        <v>1000</v>
      </c>
      <c r="F20" s="50">
        <f>B20*ReqPerUser+C20*ReqPerBot+D20*ReqPerOffer+E20*ReqPerMessage</f>
        <v/>
      </c>
      <c r="G20" s="50">
        <f>F20/86400*Peak</f>
        <v/>
      </c>
      <c r="H20" s="50">
        <f>G20*AppVcpuS/CpuTarget</f>
        <v/>
      </c>
      <c r="I20" s="50">
        <f>G20*DbVcpuS/CpuTarget</f>
        <v/>
      </c>
      <c r="J20" s="25">
        <f>IF(MAX(1,ROUNDUP(H20/0.25,0))&lt;=TaskQuota,0.25,IF(MAX(1,ROUNDUP(H20/0.5,0))&lt;=TaskQuota,0.5,IF(MAX(1,ROUNDUP(H20/1,0))&lt;=TaskQuota,1,IF(MAX(1,ROUNDUP(H20/2,0))&lt;=TaskQuota,2,IF(MAX(1,ROUNDUP(H20/4,0))&lt;=TaskQuota,4,IF(MAX(1,ROUNDUP(H20/8,0))&lt;=TaskQuota,8,IF(MAX(1,ROUNDUP(H20/16,0))&lt;=TaskQuota,16,32)))))))</f>
        <v/>
      </c>
      <c r="K20" s="26">
        <f>MAX(1,ROUNDUP(H20/J20,0))</f>
        <v/>
      </c>
      <c r="L20" s="25">
        <f>IF(J20=0.25,0.5,IF(J20=0.5,1,IF(J20=1,2,IF(J20=2,4,IF(J20=4,8,IF(J20=8,16,IF(J20=16,32,60)))))))</f>
        <v/>
      </c>
      <c r="M20" s="50">
        <f>K20*J20</f>
        <v/>
      </c>
      <c r="N20" s="50">
        <f>K20*L20</f>
        <v/>
      </c>
      <c r="O20" s="50">
        <f>MAX(MinLcu,G20/ReqPerConn/25,(G20/ReqPerConn)*HoldS/3000,G20*3600*ReqKB*(1+RespMult)/1024/1024)</f>
        <v/>
      </c>
      <c r="P20" s="25">
        <f>AlbIpv4+IF(OR(NatOn=1,TaskPublicIp=0),0,K20)</f>
        <v/>
      </c>
      <c r="Q20" s="50">
        <f>MAX(1,(G20/ReqPerConn)*HoldS)</f>
        <v/>
      </c>
      <c r="R20" s="4">
        <f t="array" ref="R20">IFERROR(INDEX(ClassNames,MATCH(1,(ClassUse&gt;=I20)*(ClassCap&gt;=Q20),0)),"NO SINGLE-AZ CLASS")</f>
        <v/>
      </c>
      <c r="S20" s="51">
        <f t="array" ref="S20">IFERROR(INDEX(ClassPrices,MATCH(1,(ClassUse&gt;=I20)*(ClassCap&gt;=Q20),0)),INDEX(ClassPrices,MATCH(MAX(ClassVcpu),ClassVcpu,0)))</f>
        <v/>
      </c>
      <c r="T20" s="50">
        <f>MAX(DbFloor,F20*Hours/24/1000000*DbPerM)</f>
        <v/>
      </c>
      <c r="U20" s="50">
        <f>F20*Hours/24/1000000*LogPerM</f>
        <v/>
      </c>
      <c r="V20" s="50">
        <f>F20*Hours/24*ReqKB*(1+RespMult)/1024/1024</f>
        <v/>
      </c>
      <c r="W20" s="52">
        <f>K20*(J20*FargateCpuRate+L20*FargateMemRate)*Hours*3600</f>
        <v/>
      </c>
      <c r="X20" s="52">
        <f>Hours*AlbHourly</f>
        <v/>
      </c>
      <c r="Y20" s="52">
        <f>O20*LcuHourly*Hours</f>
        <v/>
      </c>
      <c r="Z20" s="52">
        <f>P20*Ipv4Hourly*Hours</f>
        <v/>
      </c>
      <c r="AA20" s="52">
        <f>S20*Hours</f>
        <v/>
      </c>
      <c r="AB20" s="52">
        <f>T20*Gp3Rate</f>
        <v/>
      </c>
      <c r="AC20" s="52">
        <f>SecretCount*SecretMonthly+SecretCalls/10000*SecretApiRate</f>
        <v/>
      </c>
      <c r="AD20" s="52">
        <f>MAX(0,U20-CwFreeGb)*(CwIngest+CwStore)</f>
        <v/>
      </c>
      <c r="AE20" s="52">
        <f>MAX(0,V20-XferFreeGb)*XferRate</f>
        <v/>
      </c>
      <c r="AF20" s="52">
        <f>IF(NatOn=1,Hours*NatHourly+V20*NatPerGb,0)</f>
        <v/>
      </c>
      <c r="AG20" s="52">
        <f>0</f>
        <v/>
      </c>
      <c r="AH20" s="53">
        <f>W20+X20+Y20+Z20+AA20+AB20+AC20+AD20+AE20+AF20+AG20</f>
        <v/>
      </c>
      <c r="AI20" s="52">
        <f>ROUND(AH20,2)</f>
        <v/>
      </c>
      <c r="AJ20" s="4">
        <f>IF(H20&gt;TaskQuota*FargateMaxVcpu,"Larger shape",IF(K20&gt;TaskQuota,"Larger shape",IF(J20&gt;0.25,"One service, task size raised to stay under the tasks-per-service quota",IF(K20&gt;ExpressMax,"One service, raise the Express max of 20 tasks","Fits one ECS Express service"))))</f>
        <v/>
      </c>
      <c r="AK20" s="4">
        <f>IF(I20&gt;MAX(ClassUse),"No single-AZ class covers the assumed CPU",IF(Q20&gt;MAX(ClassCap),"No single-AZ class covers the assumed connections","Covered"))</f>
        <v/>
      </c>
      <c r="AL20" s="4">
        <f>IF(M20&gt;FargateVcpuQuota,"Above the default quota of 6 vCPU, which AWS marks adjustable","Inside the default quota of 6 vCPU")</f>
        <v/>
      </c>
      <c r="AM20" s="4">
        <f>IF(OR(B20&lt;1000,B20&gt;10000000,C20&lt;1000,C20&gt;10000000,D20&lt;1000,D20&gt;10000000,E20&lt;1000,E20&gt;10000000),"Outside 1,000 to 10,000,000","In range")</f>
        <v/>
      </c>
      <c r="AN20" s="52">
        <f>MAX(0.5,I20/AcuPerVcpu)*AuroraAcu*Hours+T20*AuroraGb</f>
        <v/>
      </c>
    </row>
    <row r="21" ht="22" customHeight="1">
      <c r="A21" s="4" t="inlineStr">
        <is>
          <t>Offers alone at 10,000</t>
        </is>
      </c>
      <c r="B21" s="23" t="n">
        <v>1000</v>
      </c>
      <c r="C21" s="23" t="n">
        <v>1000</v>
      </c>
      <c r="D21" s="23" t="n">
        <v>10000</v>
      </c>
      <c r="E21" s="23" t="n">
        <v>1000</v>
      </c>
      <c r="F21" s="50">
        <f>B21*ReqPerUser+C21*ReqPerBot+D21*ReqPerOffer+E21*ReqPerMessage</f>
        <v/>
      </c>
      <c r="G21" s="50">
        <f>F21/86400*Peak</f>
        <v/>
      </c>
      <c r="H21" s="50">
        <f>G21*AppVcpuS/CpuTarget</f>
        <v/>
      </c>
      <c r="I21" s="50">
        <f>G21*DbVcpuS/CpuTarget</f>
        <v/>
      </c>
      <c r="J21" s="25">
        <f>IF(MAX(1,ROUNDUP(H21/0.25,0))&lt;=TaskQuota,0.25,IF(MAX(1,ROUNDUP(H21/0.5,0))&lt;=TaskQuota,0.5,IF(MAX(1,ROUNDUP(H21/1,0))&lt;=TaskQuota,1,IF(MAX(1,ROUNDUP(H21/2,0))&lt;=TaskQuota,2,IF(MAX(1,ROUNDUP(H21/4,0))&lt;=TaskQuota,4,IF(MAX(1,ROUNDUP(H21/8,0))&lt;=TaskQuota,8,IF(MAX(1,ROUNDUP(H21/16,0))&lt;=TaskQuota,16,32)))))))</f>
        <v/>
      </c>
      <c r="K21" s="26">
        <f>MAX(1,ROUNDUP(H21/J21,0))</f>
        <v/>
      </c>
      <c r="L21" s="25">
        <f>IF(J21=0.25,0.5,IF(J21=0.5,1,IF(J21=1,2,IF(J21=2,4,IF(J21=4,8,IF(J21=8,16,IF(J21=16,32,60)))))))</f>
        <v/>
      </c>
      <c r="M21" s="50">
        <f>K21*J21</f>
        <v/>
      </c>
      <c r="N21" s="50">
        <f>K21*L21</f>
        <v/>
      </c>
      <c r="O21" s="50">
        <f>MAX(MinLcu,G21/ReqPerConn/25,(G21/ReqPerConn)*HoldS/3000,G21*3600*ReqKB*(1+RespMult)/1024/1024)</f>
        <v/>
      </c>
      <c r="P21" s="25">
        <f>AlbIpv4+IF(OR(NatOn=1,TaskPublicIp=0),0,K21)</f>
        <v/>
      </c>
      <c r="Q21" s="50">
        <f>MAX(1,(G21/ReqPerConn)*HoldS)</f>
        <v/>
      </c>
      <c r="R21" s="4">
        <f t="array" ref="R21">IFERROR(INDEX(ClassNames,MATCH(1,(ClassUse&gt;=I21)*(ClassCap&gt;=Q21),0)),"NO SINGLE-AZ CLASS")</f>
        <v/>
      </c>
      <c r="S21" s="51">
        <f t="array" ref="S21">IFERROR(INDEX(ClassPrices,MATCH(1,(ClassUse&gt;=I21)*(ClassCap&gt;=Q21),0)),INDEX(ClassPrices,MATCH(MAX(ClassVcpu),ClassVcpu,0)))</f>
        <v/>
      </c>
      <c r="T21" s="50">
        <f>MAX(DbFloor,F21*Hours/24/1000000*DbPerM)</f>
        <v/>
      </c>
      <c r="U21" s="50">
        <f>F21*Hours/24/1000000*LogPerM</f>
        <v/>
      </c>
      <c r="V21" s="50">
        <f>F21*Hours/24*ReqKB*(1+RespMult)/1024/1024</f>
        <v/>
      </c>
      <c r="W21" s="52">
        <f>K21*(J21*FargateCpuRate+L21*FargateMemRate)*Hours*3600</f>
        <v/>
      </c>
      <c r="X21" s="52">
        <f>Hours*AlbHourly</f>
        <v/>
      </c>
      <c r="Y21" s="52">
        <f>O21*LcuHourly*Hours</f>
        <v/>
      </c>
      <c r="Z21" s="52">
        <f>P21*Ipv4Hourly*Hours</f>
        <v/>
      </c>
      <c r="AA21" s="52">
        <f>S21*Hours</f>
        <v/>
      </c>
      <c r="AB21" s="52">
        <f>T21*Gp3Rate</f>
        <v/>
      </c>
      <c r="AC21" s="52">
        <f>SecretCount*SecretMonthly+SecretCalls/10000*SecretApiRate</f>
        <v/>
      </c>
      <c r="AD21" s="52">
        <f>MAX(0,U21-CwFreeGb)*(CwIngest+CwStore)</f>
        <v/>
      </c>
      <c r="AE21" s="52">
        <f>MAX(0,V21-XferFreeGb)*XferRate</f>
        <v/>
      </c>
      <c r="AF21" s="52">
        <f>IF(NatOn=1,Hours*NatHourly+V21*NatPerGb,0)</f>
        <v/>
      </c>
      <c r="AG21" s="52">
        <f>0</f>
        <v/>
      </c>
      <c r="AH21" s="53">
        <f>W21+X21+Y21+Z21+AA21+AB21+AC21+AD21+AE21+AF21+AG21</f>
        <v/>
      </c>
      <c r="AI21" s="52">
        <f>ROUND(AH21,2)</f>
        <v/>
      </c>
      <c r="AJ21" s="4">
        <f>IF(H21&gt;TaskQuota*FargateMaxVcpu,"Larger shape",IF(K21&gt;TaskQuota,"Larger shape",IF(J21&gt;0.25,"One service, task size raised to stay under the tasks-per-service quota",IF(K21&gt;ExpressMax,"One service, raise the Express max of 20 tasks","Fits one ECS Express service"))))</f>
        <v/>
      </c>
      <c r="AK21" s="4">
        <f>IF(I21&gt;MAX(ClassUse),"No single-AZ class covers the assumed CPU",IF(Q21&gt;MAX(ClassCap),"No single-AZ class covers the assumed connections","Covered"))</f>
        <v/>
      </c>
      <c r="AL21" s="4">
        <f>IF(M21&gt;FargateVcpuQuota,"Above the default quota of 6 vCPU, which AWS marks adjustable","Inside the default quota of 6 vCPU")</f>
        <v/>
      </c>
      <c r="AM21" s="4">
        <f>IF(OR(B21&lt;1000,B21&gt;10000000,C21&lt;1000,C21&gt;10000000,D21&lt;1000,D21&gt;10000000,E21&lt;1000,E21&gt;10000000),"Outside 1,000 to 10,000,000","In range")</f>
        <v/>
      </c>
      <c r="AN21" s="52">
        <f>MAX(0.5,I21/AcuPerVcpu)*AuroraAcu*Hours+T21*AuroraGb</f>
        <v/>
      </c>
    </row>
    <row r="22" ht="22" customHeight="1">
      <c r="A22" s="4" t="inlineStr">
        <is>
          <t>Offers alone at 100,000</t>
        </is>
      </c>
      <c r="B22" s="23" t="n">
        <v>1000</v>
      </c>
      <c r="C22" s="23" t="n">
        <v>1000</v>
      </c>
      <c r="D22" s="23" t="n">
        <v>100000</v>
      </c>
      <c r="E22" s="23" t="n">
        <v>1000</v>
      </c>
      <c r="F22" s="50">
        <f>B22*ReqPerUser+C22*ReqPerBot+D22*ReqPerOffer+E22*ReqPerMessage</f>
        <v/>
      </c>
      <c r="G22" s="50">
        <f>F22/86400*Peak</f>
        <v/>
      </c>
      <c r="H22" s="50">
        <f>G22*AppVcpuS/CpuTarget</f>
        <v/>
      </c>
      <c r="I22" s="50">
        <f>G22*DbVcpuS/CpuTarget</f>
        <v/>
      </c>
      <c r="J22" s="25">
        <f>IF(MAX(1,ROUNDUP(H22/0.25,0))&lt;=TaskQuota,0.25,IF(MAX(1,ROUNDUP(H22/0.5,0))&lt;=TaskQuota,0.5,IF(MAX(1,ROUNDUP(H22/1,0))&lt;=TaskQuota,1,IF(MAX(1,ROUNDUP(H22/2,0))&lt;=TaskQuota,2,IF(MAX(1,ROUNDUP(H22/4,0))&lt;=TaskQuota,4,IF(MAX(1,ROUNDUP(H22/8,0))&lt;=TaskQuota,8,IF(MAX(1,ROUNDUP(H22/16,0))&lt;=TaskQuota,16,32)))))))</f>
        <v/>
      </c>
      <c r="K22" s="26">
        <f>MAX(1,ROUNDUP(H22/J22,0))</f>
        <v/>
      </c>
      <c r="L22" s="25">
        <f>IF(J22=0.25,0.5,IF(J22=0.5,1,IF(J22=1,2,IF(J22=2,4,IF(J22=4,8,IF(J22=8,16,IF(J22=16,32,60)))))))</f>
        <v/>
      </c>
      <c r="M22" s="50">
        <f>K22*J22</f>
        <v/>
      </c>
      <c r="N22" s="50">
        <f>K22*L22</f>
        <v/>
      </c>
      <c r="O22" s="50">
        <f>MAX(MinLcu,G22/ReqPerConn/25,(G22/ReqPerConn)*HoldS/3000,G22*3600*ReqKB*(1+RespMult)/1024/1024)</f>
        <v/>
      </c>
      <c r="P22" s="25">
        <f>AlbIpv4+IF(OR(NatOn=1,TaskPublicIp=0),0,K22)</f>
        <v/>
      </c>
      <c r="Q22" s="50">
        <f>MAX(1,(G22/ReqPerConn)*HoldS)</f>
        <v/>
      </c>
      <c r="R22" s="4">
        <f t="array" ref="R22">IFERROR(INDEX(ClassNames,MATCH(1,(ClassUse&gt;=I22)*(ClassCap&gt;=Q22),0)),"NO SINGLE-AZ CLASS")</f>
        <v/>
      </c>
      <c r="S22" s="51">
        <f t="array" ref="S22">IFERROR(INDEX(ClassPrices,MATCH(1,(ClassUse&gt;=I22)*(ClassCap&gt;=Q22),0)),INDEX(ClassPrices,MATCH(MAX(ClassVcpu),ClassVcpu,0)))</f>
        <v/>
      </c>
      <c r="T22" s="50">
        <f>MAX(DbFloor,F22*Hours/24/1000000*DbPerM)</f>
        <v/>
      </c>
      <c r="U22" s="50">
        <f>F22*Hours/24/1000000*LogPerM</f>
        <v/>
      </c>
      <c r="V22" s="50">
        <f>F22*Hours/24*ReqKB*(1+RespMult)/1024/1024</f>
        <v/>
      </c>
      <c r="W22" s="52">
        <f>K22*(J22*FargateCpuRate+L22*FargateMemRate)*Hours*3600</f>
        <v/>
      </c>
      <c r="X22" s="52">
        <f>Hours*AlbHourly</f>
        <v/>
      </c>
      <c r="Y22" s="52">
        <f>O22*LcuHourly*Hours</f>
        <v/>
      </c>
      <c r="Z22" s="52">
        <f>P22*Ipv4Hourly*Hours</f>
        <v/>
      </c>
      <c r="AA22" s="52">
        <f>S22*Hours</f>
        <v/>
      </c>
      <c r="AB22" s="52">
        <f>T22*Gp3Rate</f>
        <v/>
      </c>
      <c r="AC22" s="52">
        <f>SecretCount*SecretMonthly+SecretCalls/10000*SecretApiRate</f>
        <v/>
      </c>
      <c r="AD22" s="52">
        <f>MAX(0,U22-CwFreeGb)*(CwIngest+CwStore)</f>
        <v/>
      </c>
      <c r="AE22" s="52">
        <f>MAX(0,V22-XferFreeGb)*XferRate</f>
        <v/>
      </c>
      <c r="AF22" s="52">
        <f>IF(NatOn=1,Hours*NatHourly+V22*NatPerGb,0)</f>
        <v/>
      </c>
      <c r="AG22" s="52">
        <f>0</f>
        <v/>
      </c>
      <c r="AH22" s="53">
        <f>W22+X22+Y22+Z22+AA22+AB22+AC22+AD22+AE22+AF22+AG22</f>
        <v/>
      </c>
      <c r="AI22" s="52">
        <f>ROUND(AH22,2)</f>
        <v/>
      </c>
      <c r="AJ22" s="4">
        <f>IF(H22&gt;TaskQuota*FargateMaxVcpu,"Larger shape",IF(K22&gt;TaskQuota,"Larger shape",IF(J22&gt;0.25,"One service, task size raised to stay under the tasks-per-service quota",IF(K22&gt;ExpressMax,"One service, raise the Express max of 20 tasks","Fits one ECS Express service"))))</f>
        <v/>
      </c>
      <c r="AK22" s="4">
        <f>IF(I22&gt;MAX(ClassUse),"No single-AZ class covers the assumed CPU",IF(Q22&gt;MAX(ClassCap),"No single-AZ class covers the assumed connections","Covered"))</f>
        <v/>
      </c>
      <c r="AL22" s="4">
        <f>IF(M22&gt;FargateVcpuQuota,"Above the default quota of 6 vCPU, which AWS marks adjustable","Inside the default quota of 6 vCPU")</f>
        <v/>
      </c>
      <c r="AM22" s="4">
        <f>IF(OR(B22&lt;1000,B22&gt;10000000,C22&lt;1000,C22&gt;10000000,D22&lt;1000,D22&gt;10000000,E22&lt;1000,E22&gt;10000000),"Outside 1,000 to 10,000,000","In range")</f>
        <v/>
      </c>
      <c r="AN22" s="52">
        <f>MAX(0.5,I22/AcuPerVcpu)*AuroraAcu*Hours+T22*AuroraGb</f>
        <v/>
      </c>
    </row>
    <row r="23" ht="22" customHeight="1">
      <c r="A23" s="4" t="inlineStr">
        <is>
          <t>Offers alone at 1,000,000</t>
        </is>
      </c>
      <c r="B23" s="23" t="n">
        <v>1000</v>
      </c>
      <c r="C23" s="23" t="n">
        <v>1000</v>
      </c>
      <c r="D23" s="23" t="n">
        <v>1000000</v>
      </c>
      <c r="E23" s="23" t="n">
        <v>1000</v>
      </c>
      <c r="F23" s="50">
        <f>B23*ReqPerUser+C23*ReqPerBot+D23*ReqPerOffer+E23*ReqPerMessage</f>
        <v/>
      </c>
      <c r="G23" s="50">
        <f>F23/86400*Peak</f>
        <v/>
      </c>
      <c r="H23" s="50">
        <f>G23*AppVcpuS/CpuTarget</f>
        <v/>
      </c>
      <c r="I23" s="50">
        <f>G23*DbVcpuS/CpuTarget</f>
        <v/>
      </c>
      <c r="J23" s="25">
        <f>IF(MAX(1,ROUNDUP(H23/0.25,0))&lt;=TaskQuota,0.25,IF(MAX(1,ROUNDUP(H23/0.5,0))&lt;=TaskQuota,0.5,IF(MAX(1,ROUNDUP(H23/1,0))&lt;=TaskQuota,1,IF(MAX(1,ROUNDUP(H23/2,0))&lt;=TaskQuota,2,IF(MAX(1,ROUNDUP(H23/4,0))&lt;=TaskQuota,4,IF(MAX(1,ROUNDUP(H23/8,0))&lt;=TaskQuota,8,IF(MAX(1,ROUNDUP(H23/16,0))&lt;=TaskQuota,16,32)))))))</f>
        <v/>
      </c>
      <c r="K23" s="26">
        <f>MAX(1,ROUNDUP(H23/J23,0))</f>
        <v/>
      </c>
      <c r="L23" s="25">
        <f>IF(J23=0.25,0.5,IF(J23=0.5,1,IF(J23=1,2,IF(J23=2,4,IF(J23=4,8,IF(J23=8,16,IF(J23=16,32,60)))))))</f>
        <v/>
      </c>
      <c r="M23" s="50">
        <f>K23*J23</f>
        <v/>
      </c>
      <c r="N23" s="50">
        <f>K23*L23</f>
        <v/>
      </c>
      <c r="O23" s="50">
        <f>MAX(MinLcu,G23/ReqPerConn/25,(G23/ReqPerConn)*HoldS/3000,G23*3600*ReqKB*(1+RespMult)/1024/1024)</f>
        <v/>
      </c>
      <c r="P23" s="25">
        <f>AlbIpv4+IF(OR(NatOn=1,TaskPublicIp=0),0,K23)</f>
        <v/>
      </c>
      <c r="Q23" s="50">
        <f>MAX(1,(G23/ReqPerConn)*HoldS)</f>
        <v/>
      </c>
      <c r="R23" s="4">
        <f t="array" ref="R23">IFERROR(INDEX(ClassNames,MATCH(1,(ClassUse&gt;=I23)*(ClassCap&gt;=Q23),0)),"NO SINGLE-AZ CLASS")</f>
        <v/>
      </c>
      <c r="S23" s="51">
        <f t="array" ref="S23">IFERROR(INDEX(ClassPrices,MATCH(1,(ClassUse&gt;=I23)*(ClassCap&gt;=Q23),0)),INDEX(ClassPrices,MATCH(MAX(ClassVcpu),ClassVcpu,0)))</f>
        <v/>
      </c>
      <c r="T23" s="50">
        <f>MAX(DbFloor,F23*Hours/24/1000000*DbPerM)</f>
        <v/>
      </c>
      <c r="U23" s="50">
        <f>F23*Hours/24/1000000*LogPerM</f>
        <v/>
      </c>
      <c r="V23" s="50">
        <f>F23*Hours/24*ReqKB*(1+RespMult)/1024/1024</f>
        <v/>
      </c>
      <c r="W23" s="52">
        <f>K23*(J23*FargateCpuRate+L23*FargateMemRate)*Hours*3600</f>
        <v/>
      </c>
      <c r="X23" s="52">
        <f>Hours*AlbHourly</f>
        <v/>
      </c>
      <c r="Y23" s="52">
        <f>O23*LcuHourly*Hours</f>
        <v/>
      </c>
      <c r="Z23" s="52">
        <f>P23*Ipv4Hourly*Hours</f>
        <v/>
      </c>
      <c r="AA23" s="52">
        <f>S23*Hours</f>
        <v/>
      </c>
      <c r="AB23" s="52">
        <f>T23*Gp3Rate</f>
        <v/>
      </c>
      <c r="AC23" s="52">
        <f>SecretCount*SecretMonthly+SecretCalls/10000*SecretApiRate</f>
        <v/>
      </c>
      <c r="AD23" s="52">
        <f>MAX(0,U23-CwFreeGb)*(CwIngest+CwStore)</f>
        <v/>
      </c>
      <c r="AE23" s="52">
        <f>MAX(0,V23-XferFreeGb)*XferRate</f>
        <v/>
      </c>
      <c r="AF23" s="52">
        <f>IF(NatOn=1,Hours*NatHourly+V23*NatPerGb,0)</f>
        <v/>
      </c>
      <c r="AG23" s="52">
        <f>0</f>
        <v/>
      </c>
      <c r="AH23" s="53">
        <f>W23+X23+Y23+Z23+AA23+AB23+AC23+AD23+AE23+AF23+AG23</f>
        <v/>
      </c>
      <c r="AI23" s="52">
        <f>ROUND(AH23,2)</f>
        <v/>
      </c>
      <c r="AJ23" s="4">
        <f>IF(H23&gt;TaskQuota*FargateMaxVcpu,"Larger shape",IF(K23&gt;TaskQuota,"Larger shape",IF(J23&gt;0.25,"One service, task size raised to stay under the tasks-per-service quota",IF(K23&gt;ExpressMax,"One service, raise the Express max of 20 tasks","Fits one ECS Express service"))))</f>
        <v/>
      </c>
      <c r="AK23" s="4">
        <f>IF(I23&gt;MAX(ClassUse),"No single-AZ class covers the assumed CPU",IF(Q23&gt;MAX(ClassCap),"No single-AZ class covers the assumed connections","Covered"))</f>
        <v/>
      </c>
      <c r="AL23" s="4">
        <f>IF(M23&gt;FargateVcpuQuota,"Above the default quota of 6 vCPU, which AWS marks adjustable","Inside the default quota of 6 vCPU")</f>
        <v/>
      </c>
      <c r="AM23" s="4">
        <f>IF(OR(B23&lt;1000,B23&gt;10000000,C23&lt;1000,C23&gt;10000000,D23&lt;1000,D23&gt;10000000,E23&lt;1000,E23&gt;10000000),"Outside 1,000 to 10,000,000","In range")</f>
        <v/>
      </c>
      <c r="AN23" s="52">
        <f>MAX(0.5,I23/AcuPerVcpu)*AuroraAcu*Hours+T23*AuroraGb</f>
        <v/>
      </c>
    </row>
    <row r="24" ht="22" customHeight="1">
      <c r="A24" s="4" t="inlineStr">
        <is>
          <t>Offers alone at 10,000,000</t>
        </is>
      </c>
      <c r="B24" s="23" t="n">
        <v>1000</v>
      </c>
      <c r="C24" s="23" t="n">
        <v>1000</v>
      </c>
      <c r="D24" s="23" t="n">
        <v>10000000</v>
      </c>
      <c r="E24" s="23" t="n">
        <v>1000</v>
      </c>
      <c r="F24" s="50">
        <f>B24*ReqPerUser+C24*ReqPerBot+D24*ReqPerOffer+E24*ReqPerMessage</f>
        <v/>
      </c>
      <c r="G24" s="50">
        <f>F24/86400*Peak</f>
        <v/>
      </c>
      <c r="H24" s="50">
        <f>G24*AppVcpuS/CpuTarget</f>
        <v/>
      </c>
      <c r="I24" s="50">
        <f>G24*DbVcpuS/CpuTarget</f>
        <v/>
      </c>
      <c r="J24" s="25">
        <f>IF(MAX(1,ROUNDUP(H24/0.25,0))&lt;=TaskQuota,0.25,IF(MAX(1,ROUNDUP(H24/0.5,0))&lt;=TaskQuota,0.5,IF(MAX(1,ROUNDUP(H24/1,0))&lt;=TaskQuota,1,IF(MAX(1,ROUNDUP(H24/2,0))&lt;=TaskQuota,2,IF(MAX(1,ROUNDUP(H24/4,0))&lt;=TaskQuota,4,IF(MAX(1,ROUNDUP(H24/8,0))&lt;=TaskQuota,8,IF(MAX(1,ROUNDUP(H24/16,0))&lt;=TaskQuota,16,32)))))))</f>
        <v/>
      </c>
      <c r="K24" s="26">
        <f>MAX(1,ROUNDUP(H24/J24,0))</f>
        <v/>
      </c>
      <c r="L24" s="25">
        <f>IF(J24=0.25,0.5,IF(J24=0.5,1,IF(J24=1,2,IF(J24=2,4,IF(J24=4,8,IF(J24=8,16,IF(J24=16,32,60)))))))</f>
        <v/>
      </c>
      <c r="M24" s="50">
        <f>K24*J24</f>
        <v/>
      </c>
      <c r="N24" s="50">
        <f>K24*L24</f>
        <v/>
      </c>
      <c r="O24" s="50">
        <f>MAX(MinLcu,G24/ReqPerConn/25,(G24/ReqPerConn)*HoldS/3000,G24*3600*ReqKB*(1+RespMult)/1024/1024)</f>
        <v/>
      </c>
      <c r="P24" s="25">
        <f>AlbIpv4+IF(OR(NatOn=1,TaskPublicIp=0),0,K24)</f>
        <v/>
      </c>
      <c r="Q24" s="50">
        <f>MAX(1,(G24/ReqPerConn)*HoldS)</f>
        <v/>
      </c>
      <c r="R24" s="4">
        <f t="array" ref="R24">IFERROR(INDEX(ClassNames,MATCH(1,(ClassUse&gt;=I24)*(ClassCap&gt;=Q24),0)),"NO SINGLE-AZ CLASS")</f>
        <v/>
      </c>
      <c r="S24" s="51">
        <f t="array" ref="S24">IFERROR(INDEX(ClassPrices,MATCH(1,(ClassUse&gt;=I24)*(ClassCap&gt;=Q24),0)),INDEX(ClassPrices,MATCH(MAX(ClassVcpu),ClassVcpu,0)))</f>
        <v/>
      </c>
      <c r="T24" s="50">
        <f>MAX(DbFloor,F24*Hours/24/1000000*DbPerM)</f>
        <v/>
      </c>
      <c r="U24" s="50">
        <f>F24*Hours/24/1000000*LogPerM</f>
        <v/>
      </c>
      <c r="V24" s="50">
        <f>F24*Hours/24*ReqKB*(1+RespMult)/1024/1024</f>
        <v/>
      </c>
      <c r="W24" s="52">
        <f>K24*(J24*FargateCpuRate+L24*FargateMemRate)*Hours*3600</f>
        <v/>
      </c>
      <c r="X24" s="52">
        <f>Hours*AlbHourly</f>
        <v/>
      </c>
      <c r="Y24" s="52">
        <f>O24*LcuHourly*Hours</f>
        <v/>
      </c>
      <c r="Z24" s="52">
        <f>P24*Ipv4Hourly*Hours</f>
        <v/>
      </c>
      <c r="AA24" s="52">
        <f>S24*Hours</f>
        <v/>
      </c>
      <c r="AB24" s="52">
        <f>T24*Gp3Rate</f>
        <v/>
      </c>
      <c r="AC24" s="52">
        <f>SecretCount*SecretMonthly+SecretCalls/10000*SecretApiRate</f>
        <v/>
      </c>
      <c r="AD24" s="52">
        <f>MAX(0,U24-CwFreeGb)*(CwIngest+CwStore)</f>
        <v/>
      </c>
      <c r="AE24" s="52">
        <f>MAX(0,V24-XferFreeGb)*XferRate</f>
        <v/>
      </c>
      <c r="AF24" s="52">
        <f>IF(NatOn=1,Hours*NatHourly+V24*NatPerGb,0)</f>
        <v/>
      </c>
      <c r="AG24" s="52">
        <f>0</f>
        <v/>
      </c>
      <c r="AH24" s="53">
        <f>W24+X24+Y24+Z24+AA24+AB24+AC24+AD24+AE24+AF24+AG24</f>
        <v/>
      </c>
      <c r="AI24" s="52">
        <f>ROUND(AH24,2)</f>
        <v/>
      </c>
      <c r="AJ24" s="4">
        <f>IF(H24&gt;TaskQuota*FargateMaxVcpu,"Larger shape",IF(K24&gt;TaskQuota,"Larger shape",IF(J24&gt;0.25,"One service, task size raised to stay under the tasks-per-service quota",IF(K24&gt;ExpressMax,"One service, raise the Express max of 20 tasks","Fits one ECS Express service"))))</f>
        <v/>
      </c>
      <c r="AK24" s="4">
        <f>IF(I24&gt;MAX(ClassUse),"No single-AZ class covers the assumed CPU",IF(Q24&gt;MAX(ClassCap),"No single-AZ class covers the assumed connections","Covered"))</f>
        <v/>
      </c>
      <c r="AL24" s="4">
        <f>IF(M24&gt;FargateVcpuQuota,"Above the default quota of 6 vCPU, which AWS marks adjustable","Inside the default quota of 6 vCPU")</f>
        <v/>
      </c>
      <c r="AM24" s="4">
        <f>IF(OR(B24&lt;1000,B24&gt;10000000,C24&lt;1000,C24&gt;10000000,D24&lt;1000,D24&gt;10000000,E24&lt;1000,E24&gt;10000000),"Outside 1,000 to 10,000,000","In range")</f>
        <v/>
      </c>
      <c r="AN24" s="52">
        <f>MAX(0.5,I24/AcuPerVcpu)*AuroraAcu*Hours+T24*AuroraGb</f>
        <v/>
      </c>
    </row>
    <row r="25" ht="22" customHeight="1">
      <c r="A25" s="4" t="inlineStr">
        <is>
          <t>Messages alone at 1,000</t>
        </is>
      </c>
      <c r="B25" s="23" t="n">
        <v>1000</v>
      </c>
      <c r="C25" s="23" t="n">
        <v>1000</v>
      </c>
      <c r="D25" s="23" t="n">
        <v>1000</v>
      </c>
      <c r="E25" s="23" t="n">
        <v>1000</v>
      </c>
      <c r="F25" s="50">
        <f>B25*ReqPerUser+C25*ReqPerBot+D25*ReqPerOffer+E25*ReqPerMessage</f>
        <v/>
      </c>
      <c r="G25" s="50">
        <f>F25/86400*Peak</f>
        <v/>
      </c>
      <c r="H25" s="50">
        <f>G25*AppVcpuS/CpuTarget</f>
        <v/>
      </c>
      <c r="I25" s="50">
        <f>G25*DbVcpuS/CpuTarget</f>
        <v/>
      </c>
      <c r="J25" s="25">
        <f>IF(MAX(1,ROUNDUP(H25/0.25,0))&lt;=TaskQuota,0.25,IF(MAX(1,ROUNDUP(H25/0.5,0))&lt;=TaskQuota,0.5,IF(MAX(1,ROUNDUP(H25/1,0))&lt;=TaskQuota,1,IF(MAX(1,ROUNDUP(H25/2,0))&lt;=TaskQuota,2,IF(MAX(1,ROUNDUP(H25/4,0))&lt;=TaskQuota,4,IF(MAX(1,ROUNDUP(H25/8,0))&lt;=TaskQuota,8,IF(MAX(1,ROUNDUP(H25/16,0))&lt;=TaskQuota,16,32)))))))</f>
        <v/>
      </c>
      <c r="K25" s="26">
        <f>MAX(1,ROUNDUP(H25/J25,0))</f>
        <v/>
      </c>
      <c r="L25" s="25">
        <f>IF(J25=0.25,0.5,IF(J25=0.5,1,IF(J25=1,2,IF(J25=2,4,IF(J25=4,8,IF(J25=8,16,IF(J25=16,32,60)))))))</f>
        <v/>
      </c>
      <c r="M25" s="50">
        <f>K25*J25</f>
        <v/>
      </c>
      <c r="N25" s="50">
        <f>K25*L25</f>
        <v/>
      </c>
      <c r="O25" s="50">
        <f>MAX(MinLcu,G25/ReqPerConn/25,(G25/ReqPerConn)*HoldS/3000,G25*3600*ReqKB*(1+RespMult)/1024/1024)</f>
        <v/>
      </c>
      <c r="P25" s="25">
        <f>AlbIpv4+IF(OR(NatOn=1,TaskPublicIp=0),0,K25)</f>
        <v/>
      </c>
      <c r="Q25" s="50">
        <f>MAX(1,(G25/ReqPerConn)*HoldS)</f>
        <v/>
      </c>
      <c r="R25" s="4">
        <f t="array" ref="R25">IFERROR(INDEX(ClassNames,MATCH(1,(ClassUse&gt;=I25)*(ClassCap&gt;=Q25),0)),"NO SINGLE-AZ CLASS")</f>
        <v/>
      </c>
      <c r="S25" s="51">
        <f t="array" ref="S25">IFERROR(INDEX(ClassPrices,MATCH(1,(ClassUse&gt;=I25)*(ClassCap&gt;=Q25),0)),INDEX(ClassPrices,MATCH(MAX(ClassVcpu),ClassVcpu,0)))</f>
        <v/>
      </c>
      <c r="T25" s="50">
        <f>MAX(DbFloor,F25*Hours/24/1000000*DbPerM)</f>
        <v/>
      </c>
      <c r="U25" s="50">
        <f>F25*Hours/24/1000000*LogPerM</f>
        <v/>
      </c>
      <c r="V25" s="50">
        <f>F25*Hours/24*ReqKB*(1+RespMult)/1024/1024</f>
        <v/>
      </c>
      <c r="W25" s="52">
        <f>K25*(J25*FargateCpuRate+L25*FargateMemRate)*Hours*3600</f>
        <v/>
      </c>
      <c r="X25" s="52">
        <f>Hours*AlbHourly</f>
        <v/>
      </c>
      <c r="Y25" s="52">
        <f>O25*LcuHourly*Hours</f>
        <v/>
      </c>
      <c r="Z25" s="52">
        <f>P25*Ipv4Hourly*Hours</f>
        <v/>
      </c>
      <c r="AA25" s="52">
        <f>S25*Hours</f>
        <v/>
      </c>
      <c r="AB25" s="52">
        <f>T25*Gp3Rate</f>
        <v/>
      </c>
      <c r="AC25" s="52">
        <f>SecretCount*SecretMonthly+SecretCalls/10000*SecretApiRate</f>
        <v/>
      </c>
      <c r="AD25" s="52">
        <f>MAX(0,U25-CwFreeGb)*(CwIngest+CwStore)</f>
        <v/>
      </c>
      <c r="AE25" s="52">
        <f>MAX(0,V25-XferFreeGb)*XferRate</f>
        <v/>
      </c>
      <c r="AF25" s="52">
        <f>IF(NatOn=1,Hours*NatHourly+V25*NatPerGb,0)</f>
        <v/>
      </c>
      <c r="AG25" s="52">
        <f>0</f>
        <v/>
      </c>
      <c r="AH25" s="53">
        <f>W25+X25+Y25+Z25+AA25+AB25+AC25+AD25+AE25+AF25+AG25</f>
        <v/>
      </c>
      <c r="AI25" s="52">
        <f>ROUND(AH25,2)</f>
        <v/>
      </c>
      <c r="AJ25" s="4">
        <f>IF(H25&gt;TaskQuota*FargateMaxVcpu,"Larger shape",IF(K25&gt;TaskQuota,"Larger shape",IF(J25&gt;0.25,"One service, task size raised to stay under the tasks-per-service quota",IF(K25&gt;ExpressMax,"One service, raise the Express max of 20 tasks","Fits one ECS Express service"))))</f>
        <v/>
      </c>
      <c r="AK25" s="4">
        <f>IF(I25&gt;MAX(ClassUse),"No single-AZ class covers the assumed CPU",IF(Q25&gt;MAX(ClassCap),"No single-AZ class covers the assumed connections","Covered"))</f>
        <v/>
      </c>
      <c r="AL25" s="4">
        <f>IF(M25&gt;FargateVcpuQuota,"Above the default quota of 6 vCPU, which AWS marks adjustable","Inside the default quota of 6 vCPU")</f>
        <v/>
      </c>
      <c r="AM25" s="4">
        <f>IF(OR(B25&lt;1000,B25&gt;10000000,C25&lt;1000,C25&gt;10000000,D25&lt;1000,D25&gt;10000000,E25&lt;1000,E25&gt;10000000),"Outside 1,000 to 10,000,000","In range")</f>
        <v/>
      </c>
      <c r="AN25" s="52">
        <f>MAX(0.5,I25/AcuPerVcpu)*AuroraAcu*Hours+T25*AuroraGb</f>
        <v/>
      </c>
    </row>
    <row r="26" ht="22" customHeight="1">
      <c r="A26" s="4" t="inlineStr">
        <is>
          <t>Messages alone at 10,000</t>
        </is>
      </c>
      <c r="B26" s="23" t="n">
        <v>1000</v>
      </c>
      <c r="C26" s="23" t="n">
        <v>1000</v>
      </c>
      <c r="D26" s="23" t="n">
        <v>1000</v>
      </c>
      <c r="E26" s="23" t="n">
        <v>10000</v>
      </c>
      <c r="F26" s="50">
        <f>B26*ReqPerUser+C26*ReqPerBot+D26*ReqPerOffer+E26*ReqPerMessage</f>
        <v/>
      </c>
      <c r="G26" s="50">
        <f>F26/86400*Peak</f>
        <v/>
      </c>
      <c r="H26" s="50">
        <f>G26*AppVcpuS/CpuTarget</f>
        <v/>
      </c>
      <c r="I26" s="50">
        <f>G26*DbVcpuS/CpuTarget</f>
        <v/>
      </c>
      <c r="J26" s="25">
        <f>IF(MAX(1,ROUNDUP(H26/0.25,0))&lt;=TaskQuota,0.25,IF(MAX(1,ROUNDUP(H26/0.5,0))&lt;=TaskQuota,0.5,IF(MAX(1,ROUNDUP(H26/1,0))&lt;=TaskQuota,1,IF(MAX(1,ROUNDUP(H26/2,0))&lt;=TaskQuota,2,IF(MAX(1,ROUNDUP(H26/4,0))&lt;=TaskQuota,4,IF(MAX(1,ROUNDUP(H26/8,0))&lt;=TaskQuota,8,IF(MAX(1,ROUNDUP(H26/16,0))&lt;=TaskQuota,16,32)))))))</f>
        <v/>
      </c>
      <c r="K26" s="26">
        <f>MAX(1,ROUNDUP(H26/J26,0))</f>
        <v/>
      </c>
      <c r="L26" s="25">
        <f>IF(J26=0.25,0.5,IF(J26=0.5,1,IF(J26=1,2,IF(J26=2,4,IF(J26=4,8,IF(J26=8,16,IF(J26=16,32,60)))))))</f>
        <v/>
      </c>
      <c r="M26" s="50">
        <f>K26*J26</f>
        <v/>
      </c>
      <c r="N26" s="50">
        <f>K26*L26</f>
        <v/>
      </c>
      <c r="O26" s="50">
        <f>MAX(MinLcu,G26/ReqPerConn/25,(G26/ReqPerConn)*HoldS/3000,G26*3600*ReqKB*(1+RespMult)/1024/1024)</f>
        <v/>
      </c>
      <c r="P26" s="25">
        <f>AlbIpv4+IF(OR(NatOn=1,TaskPublicIp=0),0,K26)</f>
        <v/>
      </c>
      <c r="Q26" s="50">
        <f>MAX(1,(G26/ReqPerConn)*HoldS)</f>
        <v/>
      </c>
      <c r="R26" s="4">
        <f t="array" ref="R26">IFERROR(INDEX(ClassNames,MATCH(1,(ClassUse&gt;=I26)*(ClassCap&gt;=Q26),0)),"NO SINGLE-AZ CLASS")</f>
        <v/>
      </c>
      <c r="S26" s="51">
        <f t="array" ref="S26">IFERROR(INDEX(ClassPrices,MATCH(1,(ClassUse&gt;=I26)*(ClassCap&gt;=Q26),0)),INDEX(ClassPrices,MATCH(MAX(ClassVcpu),ClassVcpu,0)))</f>
        <v/>
      </c>
      <c r="T26" s="50">
        <f>MAX(DbFloor,F26*Hours/24/1000000*DbPerM)</f>
        <v/>
      </c>
      <c r="U26" s="50">
        <f>F26*Hours/24/1000000*LogPerM</f>
        <v/>
      </c>
      <c r="V26" s="50">
        <f>F26*Hours/24*ReqKB*(1+RespMult)/1024/1024</f>
        <v/>
      </c>
      <c r="W26" s="52">
        <f>K26*(J26*FargateCpuRate+L26*FargateMemRate)*Hours*3600</f>
        <v/>
      </c>
      <c r="X26" s="52">
        <f>Hours*AlbHourly</f>
        <v/>
      </c>
      <c r="Y26" s="52">
        <f>O26*LcuHourly*Hours</f>
        <v/>
      </c>
      <c r="Z26" s="52">
        <f>P26*Ipv4Hourly*Hours</f>
        <v/>
      </c>
      <c r="AA26" s="52">
        <f>S26*Hours</f>
        <v/>
      </c>
      <c r="AB26" s="52">
        <f>T26*Gp3Rate</f>
        <v/>
      </c>
      <c r="AC26" s="52">
        <f>SecretCount*SecretMonthly+SecretCalls/10000*SecretApiRate</f>
        <v/>
      </c>
      <c r="AD26" s="52">
        <f>MAX(0,U26-CwFreeGb)*(CwIngest+CwStore)</f>
        <v/>
      </c>
      <c r="AE26" s="52">
        <f>MAX(0,V26-XferFreeGb)*XferRate</f>
        <v/>
      </c>
      <c r="AF26" s="52">
        <f>IF(NatOn=1,Hours*NatHourly+V26*NatPerGb,0)</f>
        <v/>
      </c>
      <c r="AG26" s="52">
        <f>0</f>
        <v/>
      </c>
      <c r="AH26" s="53">
        <f>W26+X26+Y26+Z26+AA26+AB26+AC26+AD26+AE26+AF26+AG26</f>
        <v/>
      </c>
      <c r="AI26" s="52">
        <f>ROUND(AH26,2)</f>
        <v/>
      </c>
      <c r="AJ26" s="4">
        <f>IF(H26&gt;TaskQuota*FargateMaxVcpu,"Larger shape",IF(K26&gt;TaskQuota,"Larger shape",IF(J26&gt;0.25,"One service, task size raised to stay under the tasks-per-service quota",IF(K26&gt;ExpressMax,"One service, raise the Express max of 20 tasks","Fits one ECS Express service"))))</f>
        <v/>
      </c>
      <c r="AK26" s="4">
        <f>IF(I26&gt;MAX(ClassUse),"No single-AZ class covers the assumed CPU",IF(Q26&gt;MAX(ClassCap),"No single-AZ class covers the assumed connections","Covered"))</f>
        <v/>
      </c>
      <c r="AL26" s="4">
        <f>IF(M26&gt;FargateVcpuQuota,"Above the default quota of 6 vCPU, which AWS marks adjustable","Inside the default quota of 6 vCPU")</f>
        <v/>
      </c>
      <c r="AM26" s="4">
        <f>IF(OR(B26&lt;1000,B26&gt;10000000,C26&lt;1000,C26&gt;10000000,D26&lt;1000,D26&gt;10000000,E26&lt;1000,E26&gt;10000000),"Outside 1,000 to 10,000,000","In range")</f>
        <v/>
      </c>
      <c r="AN26" s="52">
        <f>MAX(0.5,I26/AcuPerVcpu)*AuroraAcu*Hours+T26*AuroraGb</f>
        <v/>
      </c>
    </row>
    <row r="27" ht="22" customHeight="1">
      <c r="A27" s="4" t="inlineStr">
        <is>
          <t>Messages alone at 100,000</t>
        </is>
      </c>
      <c r="B27" s="23" t="n">
        <v>1000</v>
      </c>
      <c r="C27" s="23" t="n">
        <v>1000</v>
      </c>
      <c r="D27" s="23" t="n">
        <v>1000</v>
      </c>
      <c r="E27" s="23" t="n">
        <v>100000</v>
      </c>
      <c r="F27" s="50">
        <f>B27*ReqPerUser+C27*ReqPerBot+D27*ReqPerOffer+E27*ReqPerMessage</f>
        <v/>
      </c>
      <c r="G27" s="50">
        <f>F27/86400*Peak</f>
        <v/>
      </c>
      <c r="H27" s="50">
        <f>G27*AppVcpuS/CpuTarget</f>
        <v/>
      </c>
      <c r="I27" s="50">
        <f>G27*DbVcpuS/CpuTarget</f>
        <v/>
      </c>
      <c r="J27" s="25">
        <f>IF(MAX(1,ROUNDUP(H27/0.25,0))&lt;=TaskQuota,0.25,IF(MAX(1,ROUNDUP(H27/0.5,0))&lt;=TaskQuota,0.5,IF(MAX(1,ROUNDUP(H27/1,0))&lt;=TaskQuota,1,IF(MAX(1,ROUNDUP(H27/2,0))&lt;=TaskQuota,2,IF(MAX(1,ROUNDUP(H27/4,0))&lt;=TaskQuota,4,IF(MAX(1,ROUNDUP(H27/8,0))&lt;=TaskQuota,8,IF(MAX(1,ROUNDUP(H27/16,0))&lt;=TaskQuota,16,32)))))))</f>
        <v/>
      </c>
      <c r="K27" s="26">
        <f>MAX(1,ROUNDUP(H27/J27,0))</f>
        <v/>
      </c>
      <c r="L27" s="25">
        <f>IF(J27=0.25,0.5,IF(J27=0.5,1,IF(J27=1,2,IF(J27=2,4,IF(J27=4,8,IF(J27=8,16,IF(J27=16,32,60)))))))</f>
        <v/>
      </c>
      <c r="M27" s="50">
        <f>K27*J27</f>
        <v/>
      </c>
      <c r="N27" s="50">
        <f>K27*L27</f>
        <v/>
      </c>
      <c r="O27" s="50">
        <f>MAX(MinLcu,G27/ReqPerConn/25,(G27/ReqPerConn)*HoldS/3000,G27*3600*ReqKB*(1+RespMult)/1024/1024)</f>
        <v/>
      </c>
      <c r="P27" s="25">
        <f>AlbIpv4+IF(OR(NatOn=1,TaskPublicIp=0),0,K27)</f>
        <v/>
      </c>
      <c r="Q27" s="50">
        <f>MAX(1,(G27/ReqPerConn)*HoldS)</f>
        <v/>
      </c>
      <c r="R27" s="4">
        <f t="array" ref="R27">IFERROR(INDEX(ClassNames,MATCH(1,(ClassUse&gt;=I27)*(ClassCap&gt;=Q27),0)),"NO SINGLE-AZ CLASS")</f>
        <v/>
      </c>
      <c r="S27" s="51">
        <f t="array" ref="S27">IFERROR(INDEX(ClassPrices,MATCH(1,(ClassUse&gt;=I27)*(ClassCap&gt;=Q27),0)),INDEX(ClassPrices,MATCH(MAX(ClassVcpu),ClassVcpu,0)))</f>
        <v/>
      </c>
      <c r="T27" s="50">
        <f>MAX(DbFloor,F27*Hours/24/1000000*DbPerM)</f>
        <v/>
      </c>
      <c r="U27" s="50">
        <f>F27*Hours/24/1000000*LogPerM</f>
        <v/>
      </c>
      <c r="V27" s="50">
        <f>F27*Hours/24*ReqKB*(1+RespMult)/1024/1024</f>
        <v/>
      </c>
      <c r="W27" s="52">
        <f>K27*(J27*FargateCpuRate+L27*FargateMemRate)*Hours*3600</f>
        <v/>
      </c>
      <c r="X27" s="52">
        <f>Hours*AlbHourly</f>
        <v/>
      </c>
      <c r="Y27" s="52">
        <f>O27*LcuHourly*Hours</f>
        <v/>
      </c>
      <c r="Z27" s="52">
        <f>P27*Ipv4Hourly*Hours</f>
        <v/>
      </c>
      <c r="AA27" s="52">
        <f>S27*Hours</f>
        <v/>
      </c>
      <c r="AB27" s="52">
        <f>T27*Gp3Rate</f>
        <v/>
      </c>
      <c r="AC27" s="52">
        <f>SecretCount*SecretMonthly+SecretCalls/10000*SecretApiRate</f>
        <v/>
      </c>
      <c r="AD27" s="52">
        <f>MAX(0,U27-CwFreeGb)*(CwIngest+CwStore)</f>
        <v/>
      </c>
      <c r="AE27" s="52">
        <f>MAX(0,V27-XferFreeGb)*XferRate</f>
        <v/>
      </c>
      <c r="AF27" s="52">
        <f>IF(NatOn=1,Hours*NatHourly+V27*NatPerGb,0)</f>
        <v/>
      </c>
      <c r="AG27" s="52">
        <f>0</f>
        <v/>
      </c>
      <c r="AH27" s="53">
        <f>W27+X27+Y27+Z27+AA27+AB27+AC27+AD27+AE27+AF27+AG27</f>
        <v/>
      </c>
      <c r="AI27" s="52">
        <f>ROUND(AH27,2)</f>
        <v/>
      </c>
      <c r="AJ27" s="4">
        <f>IF(H27&gt;TaskQuota*FargateMaxVcpu,"Larger shape",IF(K27&gt;TaskQuota,"Larger shape",IF(J27&gt;0.25,"One service, task size raised to stay under the tasks-per-service quota",IF(K27&gt;ExpressMax,"One service, raise the Express max of 20 tasks","Fits one ECS Express service"))))</f>
        <v/>
      </c>
      <c r="AK27" s="4">
        <f>IF(I27&gt;MAX(ClassUse),"No single-AZ class covers the assumed CPU",IF(Q27&gt;MAX(ClassCap),"No single-AZ class covers the assumed connections","Covered"))</f>
        <v/>
      </c>
      <c r="AL27" s="4">
        <f>IF(M27&gt;FargateVcpuQuota,"Above the default quota of 6 vCPU, which AWS marks adjustable","Inside the default quota of 6 vCPU")</f>
        <v/>
      </c>
      <c r="AM27" s="4">
        <f>IF(OR(B27&lt;1000,B27&gt;10000000,C27&lt;1000,C27&gt;10000000,D27&lt;1000,D27&gt;10000000,E27&lt;1000,E27&gt;10000000),"Outside 1,000 to 10,000,000","In range")</f>
        <v/>
      </c>
      <c r="AN27" s="52">
        <f>MAX(0.5,I27/AcuPerVcpu)*AuroraAcu*Hours+T27*AuroraGb</f>
        <v/>
      </c>
    </row>
    <row r="28" ht="22" customHeight="1">
      <c r="A28" s="4" t="inlineStr">
        <is>
          <t>Messages alone at 1,000,000</t>
        </is>
      </c>
      <c r="B28" s="23" t="n">
        <v>1000</v>
      </c>
      <c r="C28" s="23" t="n">
        <v>1000</v>
      </c>
      <c r="D28" s="23" t="n">
        <v>1000</v>
      </c>
      <c r="E28" s="23" t="n">
        <v>1000000</v>
      </c>
      <c r="F28" s="50">
        <f>B28*ReqPerUser+C28*ReqPerBot+D28*ReqPerOffer+E28*ReqPerMessage</f>
        <v/>
      </c>
      <c r="G28" s="50">
        <f>F28/86400*Peak</f>
        <v/>
      </c>
      <c r="H28" s="50">
        <f>G28*AppVcpuS/CpuTarget</f>
        <v/>
      </c>
      <c r="I28" s="50">
        <f>G28*DbVcpuS/CpuTarget</f>
        <v/>
      </c>
      <c r="J28" s="25">
        <f>IF(MAX(1,ROUNDUP(H28/0.25,0))&lt;=TaskQuota,0.25,IF(MAX(1,ROUNDUP(H28/0.5,0))&lt;=TaskQuota,0.5,IF(MAX(1,ROUNDUP(H28/1,0))&lt;=TaskQuota,1,IF(MAX(1,ROUNDUP(H28/2,0))&lt;=TaskQuota,2,IF(MAX(1,ROUNDUP(H28/4,0))&lt;=TaskQuota,4,IF(MAX(1,ROUNDUP(H28/8,0))&lt;=TaskQuota,8,IF(MAX(1,ROUNDUP(H28/16,0))&lt;=TaskQuota,16,32)))))))</f>
        <v/>
      </c>
      <c r="K28" s="26">
        <f>MAX(1,ROUNDUP(H28/J28,0))</f>
        <v/>
      </c>
      <c r="L28" s="25">
        <f>IF(J28=0.25,0.5,IF(J28=0.5,1,IF(J28=1,2,IF(J28=2,4,IF(J28=4,8,IF(J28=8,16,IF(J28=16,32,60)))))))</f>
        <v/>
      </c>
      <c r="M28" s="50">
        <f>K28*J28</f>
        <v/>
      </c>
      <c r="N28" s="50">
        <f>K28*L28</f>
        <v/>
      </c>
      <c r="O28" s="50">
        <f>MAX(MinLcu,G28/ReqPerConn/25,(G28/ReqPerConn)*HoldS/3000,G28*3600*ReqKB*(1+RespMult)/1024/1024)</f>
        <v/>
      </c>
      <c r="P28" s="25">
        <f>AlbIpv4+IF(OR(NatOn=1,TaskPublicIp=0),0,K28)</f>
        <v/>
      </c>
      <c r="Q28" s="50">
        <f>MAX(1,(G28/ReqPerConn)*HoldS)</f>
        <v/>
      </c>
      <c r="R28" s="4">
        <f t="array" ref="R28">IFERROR(INDEX(ClassNames,MATCH(1,(ClassUse&gt;=I28)*(ClassCap&gt;=Q28),0)),"NO SINGLE-AZ CLASS")</f>
        <v/>
      </c>
      <c r="S28" s="51">
        <f t="array" ref="S28">IFERROR(INDEX(ClassPrices,MATCH(1,(ClassUse&gt;=I28)*(ClassCap&gt;=Q28),0)),INDEX(ClassPrices,MATCH(MAX(ClassVcpu),ClassVcpu,0)))</f>
        <v/>
      </c>
      <c r="T28" s="50">
        <f>MAX(DbFloor,F28*Hours/24/1000000*DbPerM)</f>
        <v/>
      </c>
      <c r="U28" s="50">
        <f>F28*Hours/24/1000000*LogPerM</f>
        <v/>
      </c>
      <c r="V28" s="50">
        <f>F28*Hours/24*ReqKB*(1+RespMult)/1024/1024</f>
        <v/>
      </c>
      <c r="W28" s="52">
        <f>K28*(J28*FargateCpuRate+L28*FargateMemRate)*Hours*3600</f>
        <v/>
      </c>
      <c r="X28" s="52">
        <f>Hours*AlbHourly</f>
        <v/>
      </c>
      <c r="Y28" s="52">
        <f>O28*LcuHourly*Hours</f>
        <v/>
      </c>
      <c r="Z28" s="52">
        <f>P28*Ipv4Hourly*Hours</f>
        <v/>
      </c>
      <c r="AA28" s="52">
        <f>S28*Hours</f>
        <v/>
      </c>
      <c r="AB28" s="52">
        <f>T28*Gp3Rate</f>
        <v/>
      </c>
      <c r="AC28" s="52">
        <f>SecretCount*SecretMonthly+SecretCalls/10000*SecretApiRate</f>
        <v/>
      </c>
      <c r="AD28" s="52">
        <f>MAX(0,U28-CwFreeGb)*(CwIngest+CwStore)</f>
        <v/>
      </c>
      <c r="AE28" s="52">
        <f>MAX(0,V28-XferFreeGb)*XferRate</f>
        <v/>
      </c>
      <c r="AF28" s="52">
        <f>IF(NatOn=1,Hours*NatHourly+V28*NatPerGb,0)</f>
        <v/>
      </c>
      <c r="AG28" s="52">
        <f>0</f>
        <v/>
      </c>
      <c r="AH28" s="53">
        <f>W28+X28+Y28+Z28+AA28+AB28+AC28+AD28+AE28+AF28+AG28</f>
        <v/>
      </c>
      <c r="AI28" s="52">
        <f>ROUND(AH28,2)</f>
        <v/>
      </c>
      <c r="AJ28" s="4">
        <f>IF(H28&gt;TaskQuota*FargateMaxVcpu,"Larger shape",IF(K28&gt;TaskQuota,"Larger shape",IF(J28&gt;0.25,"One service, task size raised to stay under the tasks-per-service quota",IF(K28&gt;ExpressMax,"One service, raise the Express max of 20 tasks","Fits one ECS Express service"))))</f>
        <v/>
      </c>
      <c r="AK28" s="4">
        <f>IF(I28&gt;MAX(ClassUse),"No single-AZ class covers the assumed CPU",IF(Q28&gt;MAX(ClassCap),"No single-AZ class covers the assumed connections","Covered"))</f>
        <v/>
      </c>
      <c r="AL28" s="4">
        <f>IF(M28&gt;FargateVcpuQuota,"Above the default quota of 6 vCPU, which AWS marks adjustable","Inside the default quota of 6 vCPU")</f>
        <v/>
      </c>
      <c r="AM28" s="4">
        <f>IF(OR(B28&lt;1000,B28&gt;10000000,C28&lt;1000,C28&gt;10000000,D28&lt;1000,D28&gt;10000000,E28&lt;1000,E28&gt;10000000),"Outside 1,000 to 10,000,000","In range")</f>
        <v/>
      </c>
      <c r="AN28" s="52">
        <f>MAX(0.5,I28/AcuPerVcpu)*AuroraAcu*Hours+T28*AuroraGb</f>
        <v/>
      </c>
    </row>
    <row r="29" ht="22" customHeight="1">
      <c r="A29" s="4" t="inlineStr">
        <is>
          <t>Messages alone at 10,000,000</t>
        </is>
      </c>
      <c r="B29" s="23" t="n">
        <v>1000</v>
      </c>
      <c r="C29" s="23" t="n">
        <v>1000</v>
      </c>
      <c r="D29" s="23" t="n">
        <v>1000</v>
      </c>
      <c r="E29" s="23" t="n">
        <v>10000000</v>
      </c>
      <c r="F29" s="50">
        <f>B29*ReqPerUser+C29*ReqPerBot+D29*ReqPerOffer+E29*ReqPerMessage</f>
        <v/>
      </c>
      <c r="G29" s="50">
        <f>F29/86400*Peak</f>
        <v/>
      </c>
      <c r="H29" s="50">
        <f>G29*AppVcpuS/CpuTarget</f>
        <v/>
      </c>
      <c r="I29" s="50">
        <f>G29*DbVcpuS/CpuTarget</f>
        <v/>
      </c>
      <c r="J29" s="25">
        <f>IF(MAX(1,ROUNDUP(H29/0.25,0))&lt;=TaskQuota,0.25,IF(MAX(1,ROUNDUP(H29/0.5,0))&lt;=TaskQuota,0.5,IF(MAX(1,ROUNDUP(H29/1,0))&lt;=TaskQuota,1,IF(MAX(1,ROUNDUP(H29/2,0))&lt;=TaskQuota,2,IF(MAX(1,ROUNDUP(H29/4,0))&lt;=TaskQuota,4,IF(MAX(1,ROUNDUP(H29/8,0))&lt;=TaskQuota,8,IF(MAX(1,ROUNDUP(H29/16,0))&lt;=TaskQuota,16,32)))))))</f>
        <v/>
      </c>
      <c r="K29" s="26">
        <f>MAX(1,ROUNDUP(H29/J29,0))</f>
        <v/>
      </c>
      <c r="L29" s="25">
        <f>IF(J29=0.25,0.5,IF(J29=0.5,1,IF(J29=1,2,IF(J29=2,4,IF(J29=4,8,IF(J29=8,16,IF(J29=16,32,60)))))))</f>
        <v/>
      </c>
      <c r="M29" s="50">
        <f>K29*J29</f>
        <v/>
      </c>
      <c r="N29" s="50">
        <f>K29*L29</f>
        <v/>
      </c>
      <c r="O29" s="50">
        <f>MAX(MinLcu,G29/ReqPerConn/25,(G29/ReqPerConn)*HoldS/3000,G29*3600*ReqKB*(1+RespMult)/1024/1024)</f>
        <v/>
      </c>
      <c r="P29" s="25">
        <f>AlbIpv4+IF(OR(NatOn=1,TaskPublicIp=0),0,K29)</f>
        <v/>
      </c>
      <c r="Q29" s="50">
        <f>MAX(1,(G29/ReqPerConn)*HoldS)</f>
        <v/>
      </c>
      <c r="R29" s="4">
        <f t="array" ref="R29">IFERROR(INDEX(ClassNames,MATCH(1,(ClassUse&gt;=I29)*(ClassCap&gt;=Q29),0)),"NO SINGLE-AZ CLASS")</f>
        <v/>
      </c>
      <c r="S29" s="51">
        <f t="array" ref="S29">IFERROR(INDEX(ClassPrices,MATCH(1,(ClassUse&gt;=I29)*(ClassCap&gt;=Q29),0)),INDEX(ClassPrices,MATCH(MAX(ClassVcpu),ClassVcpu,0)))</f>
        <v/>
      </c>
      <c r="T29" s="50">
        <f>MAX(DbFloor,F29*Hours/24/1000000*DbPerM)</f>
        <v/>
      </c>
      <c r="U29" s="50">
        <f>F29*Hours/24/1000000*LogPerM</f>
        <v/>
      </c>
      <c r="V29" s="50">
        <f>F29*Hours/24*ReqKB*(1+RespMult)/1024/1024</f>
        <v/>
      </c>
      <c r="W29" s="52">
        <f>K29*(J29*FargateCpuRate+L29*FargateMemRate)*Hours*3600</f>
        <v/>
      </c>
      <c r="X29" s="52">
        <f>Hours*AlbHourly</f>
        <v/>
      </c>
      <c r="Y29" s="52">
        <f>O29*LcuHourly*Hours</f>
        <v/>
      </c>
      <c r="Z29" s="52">
        <f>P29*Ipv4Hourly*Hours</f>
        <v/>
      </c>
      <c r="AA29" s="52">
        <f>S29*Hours</f>
        <v/>
      </c>
      <c r="AB29" s="52">
        <f>T29*Gp3Rate</f>
        <v/>
      </c>
      <c r="AC29" s="52">
        <f>SecretCount*SecretMonthly+SecretCalls/10000*SecretApiRate</f>
        <v/>
      </c>
      <c r="AD29" s="52">
        <f>MAX(0,U29-CwFreeGb)*(CwIngest+CwStore)</f>
        <v/>
      </c>
      <c r="AE29" s="52">
        <f>MAX(0,V29-XferFreeGb)*XferRate</f>
        <v/>
      </c>
      <c r="AF29" s="52">
        <f>IF(NatOn=1,Hours*NatHourly+V29*NatPerGb,0)</f>
        <v/>
      </c>
      <c r="AG29" s="52">
        <f>0</f>
        <v/>
      </c>
      <c r="AH29" s="53">
        <f>W29+X29+Y29+Z29+AA29+AB29+AC29+AD29+AE29+AF29+AG29</f>
        <v/>
      </c>
      <c r="AI29" s="52">
        <f>ROUND(AH29,2)</f>
        <v/>
      </c>
      <c r="AJ29" s="4">
        <f>IF(H29&gt;TaskQuota*FargateMaxVcpu,"Larger shape",IF(K29&gt;TaskQuota,"Larger shape",IF(J29&gt;0.25,"One service, task size raised to stay under the tasks-per-service quota",IF(K29&gt;ExpressMax,"One service, raise the Express max of 20 tasks","Fits one ECS Express service"))))</f>
        <v/>
      </c>
      <c r="AK29" s="4">
        <f>IF(I29&gt;MAX(ClassUse),"No single-AZ class covers the assumed CPU",IF(Q29&gt;MAX(ClassCap),"No single-AZ class covers the assumed connections","Covered"))</f>
        <v/>
      </c>
      <c r="AL29" s="4">
        <f>IF(M29&gt;FargateVcpuQuota,"Above the default quota of 6 vCPU, which AWS marks adjustable","Inside the default quota of 6 vCPU")</f>
        <v/>
      </c>
      <c r="AM29" s="4">
        <f>IF(OR(B29&lt;1000,B29&gt;10000000,C29&lt;1000,C29&gt;10000000,D29&lt;1000,D29&gt;10000000,E29&lt;1000,E29&gt;10000000),"Outside 1,000 to 10,000,000","In range")</f>
        <v/>
      </c>
      <c r="AN29" s="52">
        <f>MAX(0.5,I29/AcuPerVcpu)*AuroraAcu*Hours+T29*AuroraGb</f>
        <v/>
      </c>
    </row>
  </sheetData>
  <autoFilter ref="A4:AN29"/>
  <mergeCells count="1">
    <mergeCell ref="A2:L2"/>
  </mergeCells>
  <conditionalFormatting sqref="AJ5:AJ29">
    <cfRule type="expression" priority="1" dxfId="0">
      <formula>ISNUMBER(SEARCH("Larger",AJ5))</formula>
    </cfRule>
    <cfRule type="expression" priority="2" dxfId="2">
      <formula>ISNUMBER(SEARCH("raise",AJ5))</formula>
    </cfRule>
  </conditionalFormatting>
  <conditionalFormatting sqref="AM5:AM29">
    <cfRule type="expression" priority="3" dxfId="0">
      <formula>ISNUMBER(SEARCH("Outside",AM5))</formula>
    </cfRule>
  </conditionalFormatting>
  <pageMargins left="0.5" right="0.5" top="0.75" bottom="0.5" header="0.5" footer="0.5"/>
  <pageSetup orientation="landscape" paperSize="3" fitToHeight="1" fitToWidth="1"/>
  <headerFooter>
    <oddHeader>&amp;LRungs</oddHeader>
    <oddFooter>&amp;LEstimate only. No provision. PoC $0.&amp;RPage &amp;P</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D10"/>
  <sheetViews>
    <sheetView showGridLines="0" workbookViewId="0">
      <selection activeCell="A1" sqref="A1"/>
    </sheetView>
  </sheetViews>
  <sheetFormatPr baseColWidth="8" defaultRowHeight="15"/>
  <cols>
    <col width="52" customWidth="1" min="1" max="1"/>
    <col width="42" customWidth="1" min="2" max="2"/>
    <col width="78" customWidth="1" min="3" max="3"/>
    <col width="78" customWidth="1" min="4" max="4"/>
  </cols>
  <sheetData>
    <row r="1">
      <c r="A1" s="1" t="inlineStr">
        <is>
          <t>Where one ECS Express service stops fitting</t>
        </is>
      </c>
    </row>
    <row r="2" ht="48" customHeight="1">
      <c r="A2" s="2" t="inlineStr">
        <is>
          <t>These volumes use the current Inputs multipliers, with all four daily volumes set equal. They are formulas. The default max of 20 tasks is a setting AWS says can be raised. The hard stop is the tasks-per-service quota of 5,000, which is not adjustable, or a task bigger than 32 vCPU, which Fargate does not offer. Past a hard marker the Rungs sheet says Larger shape and still prices one pool of tasks. It does not add a second service.</t>
        </is>
      </c>
    </row>
    <row r="4">
      <c r="A4" s="3" t="inlineStr">
        <is>
          <t>Marker</t>
        </is>
      </c>
      <c r="B4" s="3" t="inlineStr">
        <is>
          <t>Combined daily volume where it binds</t>
        </is>
      </c>
      <c r="C4" s="3" t="inlineStr">
        <is>
          <t>What it is</t>
        </is>
      </c>
      <c r="D4" s="3" t="inlineStr">
        <is>
          <t>Cite</t>
        </is>
      </c>
    </row>
    <row r="5" ht="36" customHeight="1">
      <c r="A5" s="4" t="inlineStr">
        <is>
          <t>Express default max of 20 tasks at 0.25 vCPU</t>
        </is>
      </c>
      <c r="B5" s="30">
        <f>IF((ReqPerUser+ReqPerBot+ReqPerOffer+ReqPerMessage)=0,"n/a",(ExpressMax*0.25)*CpuTarget/AppVcpuS/Peak*86400/(ReqPerUser+ReqPerBot+ReqPerOffer+ReqPerMessage))</f>
        <v/>
      </c>
      <c r="C5" s="4" t="inlineStr">
        <is>
          <t>Above this, one service still fits if the max-task setting is raised. Not a hard stop.</t>
        </is>
      </c>
      <c r="D5" s="31" t="inlineStr">
        <is>
          <t>https://docs.aws.amazon.com/AmazonECS/latest/developerguide/express-service-work.html</t>
        </is>
      </c>
    </row>
    <row r="6" ht="36" customHeight="1">
      <c r="A6" s="4" t="inlineStr">
        <is>
          <t>Default Fargate On-Demand vCPU quota of 6</t>
        </is>
      </c>
      <c r="B6" s="30">
        <f>IF((ReqPerUser+ReqPerBot+ReqPerOffer+ReqPerMessage)=0,"n/a",(FargateVcpuQuota)*CpuTarget/AppVcpuS/Peak*86400/(ReqPerUser+ReqPerBot+ReqPerOffer+ReqPerMessage))</f>
        <v/>
      </c>
      <c r="C6" s="4" t="inlineStr">
        <is>
          <t>Account quota. AWS marks it adjustable. Not a hard stop.</t>
        </is>
      </c>
      <c r="D6" s="31" t="inlineStr">
        <is>
          <t>https://docs.aws.amazon.com/general/latest/gr/ecs-service.html</t>
        </is>
      </c>
    </row>
    <row r="7" ht="36" customHeight="1">
      <c r="A7" s="4" t="inlineStr">
        <is>
          <t>5,000 tasks at 0.25 vCPU</t>
        </is>
      </c>
      <c r="B7" s="30">
        <f>IF((ReqPerUser+ReqPerBot+ReqPerOffer+ReqPerMessage)=0,"n/a",(TaskQuota*0.25)*CpuTarget/AppVcpuS/Peak*86400/(ReqPerUser+ReqPerBot+ReqPerOffer+ReqPerMessage))</f>
        <v/>
      </c>
      <c r="C7" s="4" t="inlineStr">
        <is>
          <t>The tasks-per-service quota if every task stays at the smallest size. The model raises task size before it calls this a hard stop.</t>
        </is>
      </c>
      <c r="D7" s="31" t="inlineStr">
        <is>
          <t>https://docs.aws.amazon.com/general/latest/gr/ecs-service.html</t>
        </is>
      </c>
    </row>
    <row r="8" ht="36" customHeight="1">
      <c r="A8" s="4" t="inlineStr">
        <is>
          <t>Hard stop: 5,000 tasks at 32 vCPU</t>
        </is>
      </c>
      <c r="B8" s="30">
        <f>IF((ReqPerUser+ReqPerBot+ReqPerOffer+ReqPerMessage)=0,"n/a",(TaskQuota*FargateMaxVcpu)*CpuTarget/AppVcpuS/Peak*86400/(ReqPerUser+ReqPerBot+ReqPerOffer+ReqPerMessage))</f>
        <v/>
      </c>
      <c r="C8" s="4" t="inlineStr">
        <is>
          <t>One service cannot hold more compute than 5,000 tasks of 32 vCPU. Past this the row is a larger shape.</t>
        </is>
      </c>
      <c r="D8" s="31" t="inlineStr">
        <is>
          <t>https://docs.aws.amazon.com/general/latest/gr/ecs-service.html</t>
        </is>
      </c>
    </row>
    <row r="10">
      <c r="A10" s="32" t="inlineStr">
        <is>
          <t>Date read for both quota pages and the Express page: 2026-10-02.</t>
        </is>
      </c>
    </row>
  </sheetData>
  <mergeCells count="1">
    <mergeCell ref="A2:D2"/>
  </mergeCells>
  <pageMargins left="0.5" right="0.5" top="0.75" bottom="0.5" header="0.5" footer="0.5"/>
  <pageSetup orientation="landscape" paperSize="3" fitToHeight="1" fitToWidth="1"/>
  <headerFooter>
    <oddHeader>&amp;LBreakpoints</oddHeader>
    <oddFooter>&amp;LEstimate only. No provision. PoC $0.&amp;RPage &amp;P</oddFooter>
    <evenHeader/>
    <evenFooter/>
    <firstHeader/>
    <firstFooter/>
  </headerFooter>
</worksheet>
</file>

<file path=xl/worksheets/sheet5.xml><?xml version="1.0" encoding="utf-8"?>
<worksheet xmlns="http://schemas.openxmlformats.org/spreadsheetml/2006/main">
  <sheetPr>
    <tabColor rgb="001F4E79"/>
    <outlinePr summaryBelow="1" summaryRight="1"/>
    <pageSetUpPr fitToPage="1"/>
  </sheetPr>
  <dimension ref="A1:D25"/>
  <sheetViews>
    <sheetView showGridLines="0" workbookViewId="0">
      <selection activeCell="A1" sqref="A1"/>
    </sheetView>
  </sheetViews>
  <sheetFormatPr baseColWidth="8" defaultRowHeight="15"/>
  <cols>
    <col width="42" customWidth="1" min="1" max="1"/>
    <col width="36" customWidth="1" min="2" max="2"/>
    <col width="22" customWidth="1" min="3" max="3"/>
    <col width="18" customWidth="1" min="4" max="4"/>
  </cols>
  <sheetData>
    <row r="1">
      <c r="A1" s="1" t="inlineStr">
        <is>
          <t>Floor against FIN-2026-10-02-01</t>
        </is>
      </c>
    </row>
    <row r="2" ht="48" customHeight="1">
      <c r="A2" s="2" t="inlineStr">
        <is>
          <t>FIN-2026-10-02-01 stated $53.36. The unrounded lines there sum to $53.360098. Rounded lines can print about $53.37 because $16.425 becomes $16.43 and $0.005 becomes $0.01. That penny is rounding, not a missing line. This sheet compares the Live case, at the default inputs, to those unrounded lines. The match expects task public IPv4 off, NAT off, and the four volumes at 1,000 with multipliers at 1.</t>
        </is>
      </c>
    </row>
    <row r="4">
      <c r="A4" s="13" t="inlineStr">
        <is>
          <t>Line</t>
        </is>
      </c>
      <c r="B4" s="13" t="inlineStr">
        <is>
          <t>FIN-2026-10-02-01 exact USD</t>
        </is>
      </c>
      <c r="C4" s="13" t="inlineStr">
        <is>
          <t>This model</t>
        </is>
      </c>
      <c r="D4" s="13" t="inlineStr">
        <is>
          <t>Delta</t>
        </is>
      </c>
    </row>
    <row r="5">
      <c r="A5" s="10" t="inlineStr">
        <is>
          <t>Fargate, 1 task, 0.25 vCPU, 0.5 GB</t>
        </is>
      </c>
      <c r="B5" s="54" t="n">
        <v>9.010097999999999</v>
      </c>
      <c r="C5" s="54">
        <f>Live!B28</f>
        <v/>
      </c>
      <c r="D5" s="54">
        <f>C5-B5</f>
        <v/>
      </c>
    </row>
    <row r="6">
      <c r="A6" s="10" t="inlineStr">
        <is>
          <t>ALB hours</t>
        </is>
      </c>
      <c r="B6" s="54" t="n">
        <v>16.425</v>
      </c>
      <c r="C6" s="54">
        <f>Live!B29</f>
        <v/>
      </c>
      <c r="D6" s="54">
        <f>C6-B6</f>
        <v/>
      </c>
    </row>
    <row r="7">
      <c r="A7" s="10" t="inlineStr">
        <is>
          <t>ALB LCU, 1 LCU</t>
        </is>
      </c>
      <c r="B7" s="54" t="n">
        <v>5.84</v>
      </c>
      <c r="C7" s="54">
        <f>Live!B30</f>
        <v/>
      </c>
      <c r="D7" s="54">
        <f>C7-B7</f>
        <v/>
      </c>
    </row>
    <row r="8">
      <c r="A8" s="10" t="inlineStr">
        <is>
          <t>Public IPv4, 2 addresses</t>
        </is>
      </c>
      <c r="B8" s="54" t="n">
        <v>7.3</v>
      </c>
      <c r="C8" s="54">
        <f>Live!B31</f>
        <v/>
      </c>
      <c r="D8" s="54">
        <f>C8-B8</f>
        <v/>
      </c>
    </row>
    <row r="9">
      <c r="A9" s="10" t="inlineStr">
        <is>
          <t>RDS db.t4g.micro</t>
        </is>
      </c>
      <c r="B9" s="54" t="n">
        <v>11.68</v>
      </c>
      <c r="C9" s="54">
        <f>Live!B32</f>
        <v/>
      </c>
      <c r="D9" s="54">
        <f>C9-B9</f>
        <v/>
      </c>
    </row>
    <row r="10">
      <c r="A10" s="10" t="inlineStr">
        <is>
          <t>gp3 20 GB</t>
        </is>
      </c>
      <c r="B10" s="54" t="n">
        <v>2.3</v>
      </c>
      <c r="C10" s="54">
        <f>Live!B33</f>
        <v/>
      </c>
      <c r="D10" s="54">
        <f>C10-B10</f>
        <v/>
      </c>
    </row>
    <row r="11">
      <c r="A11" s="10" t="inlineStr">
        <is>
          <t>Secrets Manager</t>
        </is>
      </c>
      <c r="B11" s="54" t="n">
        <v>0.805</v>
      </c>
      <c r="C11" s="54">
        <f>Live!B34</f>
        <v/>
      </c>
      <c r="D11" s="54">
        <f>C11-B11</f>
        <v/>
      </c>
    </row>
    <row r="12">
      <c r="A12" s="10" t="inlineStr">
        <is>
          <t>CloudWatch</t>
        </is>
      </c>
      <c r="B12" s="54" t="n">
        <v>0</v>
      </c>
      <c r="C12" s="54">
        <f>Live!B35</f>
        <v/>
      </c>
      <c r="D12" s="54">
        <f>C12-B12</f>
        <v/>
      </c>
    </row>
    <row r="13">
      <c r="A13" s="10" t="inlineStr">
        <is>
          <t>Data transfer</t>
        </is>
      </c>
      <c r="B13" s="54" t="n">
        <v>0</v>
      </c>
      <c r="C13" s="54">
        <f>Live!B36</f>
        <v/>
      </c>
      <c r="D13" s="54">
        <f>C13-B13</f>
        <v/>
      </c>
    </row>
    <row r="14">
      <c r="A14" s="10" t="inlineStr">
        <is>
          <t>NAT</t>
        </is>
      </c>
      <c r="B14" s="54" t="n">
        <v>0</v>
      </c>
      <c r="C14" s="54">
        <f>Live!B37</f>
        <v/>
      </c>
      <c r="D14" s="54">
        <f>C14-B14</f>
        <v/>
      </c>
    </row>
    <row r="15">
      <c r="A15" s="10" t="inlineStr">
        <is>
          <t>Held at zero</t>
        </is>
      </c>
      <c r="B15" s="54" t="n">
        <v>0</v>
      </c>
      <c r="C15" s="54">
        <f>Live!B38</f>
        <v/>
      </c>
      <c r="D15" s="54">
        <f>C15-B15</f>
        <v/>
      </c>
    </row>
    <row r="16">
      <c r="A16" s="34" t="inlineStr">
        <is>
          <t>Exact sum</t>
        </is>
      </c>
      <c r="B16" s="47">
        <f>SUM(B5:B15)</f>
        <v/>
      </c>
      <c r="C16" s="47">
        <f>Live!B39</f>
        <v/>
      </c>
      <c r="D16" s="55">
        <f>C16-B16</f>
        <v/>
      </c>
    </row>
    <row r="17">
      <c r="A17" s="34" t="inlineStr">
        <is>
          <t>Rounded to the cent</t>
        </is>
      </c>
      <c r="B17" s="48">
        <f>ROUND(B16,2)</f>
        <v/>
      </c>
      <c r="C17" s="48">
        <f>Live!B40</f>
        <v/>
      </c>
      <c r="D17" s="48">
        <f>C17-B17</f>
        <v/>
      </c>
    </row>
    <row r="19">
      <c r="A19" t="inlineStr">
        <is>
          <t>Floor conditions</t>
        </is>
      </c>
      <c r="B19" s="9">
        <f>IF(AND(Users=1000,Bots=1000,Offers=1000,Messages=1000,ReqPerUser=1,ReqPerBot=1,ReqPerOffer=1,ReqPerMessage=1,Peak=1,ReqKB=1,RespMult=1,ReqPerConn=1,LogPerM=1,DbFloor=20,DbPerM=0.1,AppVcpuS=0.01,DbVcpuS=0.01,HoldS=1,NatOn=0,TaskPublicIp=0,Live!B12=1,Live!B11=0.25),"Floor matches the FIN-2026-10-02-01 basis","Inputs are not at the floor. The delta is expected.")</f>
        <v/>
      </c>
    </row>
    <row r="21">
      <c r="A21" s="36" t="inlineStr">
        <is>
          <t>Known deltas if you leave the floor</t>
        </is>
      </c>
    </row>
    <row r="22" ht="32" customHeight="1">
      <c r="A22" s="32" t="inlineStr">
        <is>
          <t>Task public IPv4 on</t>
        </is>
      </c>
      <c r="B22" s="37" t="inlineStr">
        <is>
          <t>Adds one in-use address per task at $0.005 per hour. One task is $3.65. Express Mode enables assignPublicIp on the default public subnets. This model leaves that off so the floor matches FIN-2026-10-02-01.</t>
        </is>
      </c>
    </row>
    <row r="23" ht="32" customHeight="1">
      <c r="A23" s="32" t="inlineStr">
        <is>
          <t>NAT on</t>
        </is>
      </c>
      <c r="B23" s="37" t="inlineStr">
        <is>
          <t>Adds 730 x $0.045 = $32.85 plus $0.045 per data-transfer GB. That $32.85 is the FIN-2026-10-02-01 sensitivity and is not in $53.36.</t>
        </is>
      </c>
    </row>
    <row r="24" ht="32" customHeight="1">
      <c r="A24" s="32" t="inlineStr">
        <is>
          <t>Log GB and storage</t>
        </is>
      </c>
      <c r="B24" s="37" t="inlineStr">
        <is>
          <t>At the floor both stay inside the amounts FIN-2026-10-02-01 priced at $0 and $2.30. They rise on the higher rungs because the per-million inputs are not zero.</t>
        </is>
      </c>
    </row>
    <row r="25" ht="32" customHeight="1">
      <c r="A25" s="32" t="inlineStr">
        <is>
          <t>Data transfer dollars</t>
        </is>
      </c>
      <c r="B25" s="37" t="inlineStr">
        <is>
          <t>Priced at $0.01 per GB after 100 GB, the regional rate in the EC2 us-east-1 price list. Internet-egress tier dollars were not in that file, so this can understate traffic to clients. The GB column is still calculated.</t>
        </is>
      </c>
    </row>
  </sheetData>
  <mergeCells count="7">
    <mergeCell ref="B19:D19"/>
    <mergeCell ref="B23:D23"/>
    <mergeCell ref="B22:D22"/>
    <mergeCell ref="A21:D21"/>
    <mergeCell ref="A2:D2"/>
    <mergeCell ref="B25:D25"/>
    <mergeCell ref="B24:D24"/>
  </mergeCells>
  <pageMargins left="0.5" right="0.5" top="0.75" bottom="0.5" header="0.5" footer="0.5"/>
  <pageSetup orientation="landscape" paperSize="3" fitToHeight="1" fitToWidth="1"/>
  <headerFooter>
    <oddHeader>&amp;LReconcile</oddHeader>
    <oddFooter>&amp;LEstimate only. No provision. PoC $0.&amp;RPage &amp;P</oddFooter>
    <evenHeader/>
    <evenFooter/>
    <firstHeader/>
    <firstFooter/>
  </headerFooter>
</worksheet>
</file>

<file path=xl/worksheets/sheet6.xml><?xml version="1.0" encoding="utf-8"?>
<worksheet xmlns="http://schemas.openxmlformats.org/spreadsheetml/2006/main">
  <sheetPr>
    <tabColor rgb="001F4E79"/>
    <outlinePr summaryBelow="1" summaryRight="1"/>
    <pageSetUpPr fitToPage="1"/>
  </sheetPr>
  <dimension ref="A1:F34"/>
  <sheetViews>
    <sheetView showGridLines="0" zoomScale="110" workbookViewId="0">
      <pane ySplit="4" topLeftCell="A5" activePane="bottomLeft" state="frozen"/>
      <selection pane="bottomLeft" activeCell="A1" sqref="A1"/>
    </sheetView>
  </sheetViews>
  <sheetFormatPr baseColWidth="8" defaultRowHeight="15"/>
  <cols>
    <col width="34" customWidth="1" min="1" max="1"/>
    <col width="16" customWidth="1" min="2" max="2"/>
    <col width="28" customWidth="1" min="3" max="3"/>
    <col width="62" customWidth="1" min="4" max="4"/>
    <col width="14" customWidth="1" min="5" max="5"/>
    <col width="78" customWidth="1" min="6" max="6"/>
  </cols>
  <sheetData>
    <row r="1" ht="22" customHeight="1">
      <c r="A1" s="1" t="inlineStr">
        <is>
          <t>FIN-2026-10-02-02 rates</t>
        </is>
      </c>
    </row>
    <row r="2" ht="32" customHeight="1">
      <c r="A2" s="2" t="inlineStr">
        <is>
          <t>us-east-1, 730 hours, on-demand. No Savings Plans. No blended dollar-per-request rate. Every price below has a URL and the date it was read. Yellow cells are the rates the model uses. Do not paste totals over them.</t>
        </is>
      </c>
    </row>
    <row r="4">
      <c r="A4" s="3" t="inlineStr">
        <is>
          <t>Name</t>
        </is>
      </c>
      <c r="B4" s="3" t="inlineStr">
        <is>
          <t>Value</t>
        </is>
      </c>
      <c r="C4" s="3" t="inlineStr">
        <is>
          <t>Unit</t>
        </is>
      </c>
      <c r="D4" s="3" t="inlineStr">
        <is>
          <t>URL</t>
        </is>
      </c>
      <c r="E4" s="3" t="inlineStr">
        <is>
          <t>Date read</t>
        </is>
      </c>
      <c r="F4" s="3" t="inlineStr">
        <is>
          <t>What it is</t>
        </is>
      </c>
    </row>
    <row r="5" ht="48" customHeight="1">
      <c r="A5" s="4" t="inlineStr">
        <is>
          <t>Hours in the model month</t>
        </is>
      </c>
      <c r="B5" s="38" t="n">
        <v>730</v>
      </c>
      <c r="C5" s="4" t="inlineStr">
        <is>
          <t>hours</t>
        </is>
      </c>
      <c r="D5" s="31" t="inlineStr">
        <is>
          <t>https://aws.amazon.com/fargate/pricing/</t>
        </is>
      </c>
      <c r="E5" s="4" t="inlineStr">
        <is>
          <t>2026-10-02</t>
        </is>
      </c>
      <c r="F5" s="4" t="inlineStr">
        <is>
          <t>730 hours is the month length used on the Fargate, RDS, and ELB examples this model reuses from FIN-2026-10-02-01.</t>
        </is>
      </c>
    </row>
    <row r="6" ht="48" customHeight="1">
      <c r="A6" s="4" t="inlineStr">
        <is>
          <t>Fargate Linux/x86 CPU</t>
        </is>
      </c>
      <c r="B6" s="56" t="n">
        <v>1.1244e-05</v>
      </c>
      <c r="C6" s="4" t="inlineStr">
        <is>
          <t>USD per vCPU-second</t>
        </is>
      </c>
      <c r="D6" s="31" t="inlineStr">
        <is>
          <t>https://aws.amazon.com/fargate/pricing/</t>
        </is>
      </c>
      <c r="E6" s="4" t="inlineStr">
        <is>
          <t>2026-10-02</t>
        </is>
      </c>
      <c r="F6" s="4" t="inlineStr">
        <is>
          <t>US East (N. Virginia), Linux/X86, example 1 on the Fargate pricing page. ARM is not used. Option A does not lock Graviton.</t>
        </is>
      </c>
    </row>
    <row r="7" ht="48" customHeight="1">
      <c r="A7" s="4" t="inlineStr">
        <is>
          <t>Fargate Linux/x86 memory</t>
        </is>
      </c>
      <c r="B7" s="56" t="n">
        <v>1.235e-06</v>
      </c>
      <c r="C7" s="4" t="inlineStr">
        <is>
          <t>USD per GB-second</t>
        </is>
      </c>
      <c r="D7" s="31" t="inlineStr">
        <is>
          <t>https://aws.amazon.com/fargate/pricing/</t>
        </is>
      </c>
      <c r="E7" s="4" t="inlineStr">
        <is>
          <t>2026-10-02</t>
        </is>
      </c>
      <c r="F7" s="4" t="inlineStr">
        <is>
          <t>Same example. 0.5 GB is the pricing figure for the 512 MiB minimum, not a claim that the API fits in 0.5 GB.</t>
        </is>
      </c>
    </row>
    <row r="8" ht="48" customHeight="1">
      <c r="A8" s="4" t="inlineStr">
        <is>
          <t>ALB hourly</t>
        </is>
      </c>
      <c r="B8" s="40" t="n">
        <v>0.0225</v>
      </c>
      <c r="C8" s="4" t="inlineStr">
        <is>
          <t>USD per hour</t>
        </is>
      </c>
      <c r="D8" s="31" t="inlineStr">
        <is>
          <t>https://aws.amazon.com/elasticloadbalancing/pricing/</t>
        </is>
      </c>
      <c r="E8" s="4" t="inlineStr">
        <is>
          <t>2026-10-02</t>
        </is>
      </c>
      <c r="F8" s="4" t="inlineStr">
        <is>
          <t>Application Load Balancer, US East (N. Virginia). No separate Express Mode SKU. You pay the load balancer Express stands up.</t>
        </is>
      </c>
    </row>
    <row r="9" ht="48" customHeight="1">
      <c r="A9" s="4" t="inlineStr">
        <is>
          <t>ALB LCU</t>
        </is>
      </c>
      <c r="B9" s="56" t="n">
        <v>0.008</v>
      </c>
      <c r="C9" s="4" t="inlineStr">
        <is>
          <t>USD per LCU-hour</t>
        </is>
      </c>
      <c r="D9" s="31" t="inlineStr">
        <is>
          <t>https://aws.amazon.com/elasticloadbalancing/pricing/</t>
        </is>
      </c>
      <c r="E9" s="4" t="inlineStr">
        <is>
          <t>2026-10-02</t>
        </is>
      </c>
      <c r="F9" s="4" t="inlineStr">
        <is>
          <t>Same page. One LCU covers 25 new connections/second, 3,000 active connections, or 1 GB processed per hour for container targets. The first 10 rule evaluations are free. This model does not blend those into a dollar-per-request rate.</t>
        </is>
      </c>
    </row>
    <row r="10" ht="48" customHeight="1">
      <c r="A10" s="4" t="inlineStr">
        <is>
          <t>Public IPv4 in-use</t>
        </is>
      </c>
      <c r="B10" s="56" t="n">
        <v>0.005</v>
      </c>
      <c r="C10" s="4" t="inlineStr">
        <is>
          <t>USD per address-hour</t>
        </is>
      </c>
      <c r="D10" s="31" t="inlineStr">
        <is>
          <t>https://aws.amazon.com/vpc/pricing/</t>
        </is>
      </c>
      <c r="E10" s="4" t="inlineStr">
        <is>
          <t>2026-10-02</t>
        </is>
      </c>
      <c r="F10" s="4" t="inlineStr">
        <is>
          <t>In-use public IPv4 address, all commercial regions, $0.005 per hour. FIN-2026-10-02-01 counted 2 addresses on the one load balancer.</t>
        </is>
      </c>
    </row>
    <row r="11" ht="48" customHeight="1">
      <c r="A11" s="4" t="inlineStr">
        <is>
          <t>RDS gp3 storage</t>
        </is>
      </c>
      <c r="B11" s="40" t="n">
        <v>0.115</v>
      </c>
      <c r="C11" s="4" t="inlineStr">
        <is>
          <t>USD per GB-month</t>
        </is>
      </c>
      <c r="D11" s="31" t="inlineStr">
        <is>
          <t>https://pricing.us-east-1.amazonaws.com/offers/v1.0/aws/AmazonRDS/current/us-east-1/index.csv</t>
        </is>
      </c>
      <c r="E11" s="4" t="inlineStr">
        <is>
          <t>2026-10-02</t>
        </is>
      </c>
      <c r="F11" s="4" t="inlineStr">
        <is>
          <t>Price list published 2026-10-01T06:02:30Z. Description: $0.115 per GB-month of provisioned GP3 storage running PostgreSQL, Single-AZ. No extra provisioned throughput.</t>
        </is>
      </c>
    </row>
    <row r="12" ht="48" customHeight="1">
      <c r="A12" s="4" t="inlineStr">
        <is>
          <t>Secrets Manager secret</t>
        </is>
      </c>
      <c r="B12" s="40" t="n">
        <v>0.4</v>
      </c>
      <c r="C12" s="4" t="inlineStr">
        <is>
          <t>USD per secret-month</t>
        </is>
      </c>
      <c r="D12" s="31" t="inlineStr">
        <is>
          <t>https://aws.amazon.com/secrets-manager/pricing/</t>
        </is>
      </c>
      <c r="E12" s="4" t="inlineStr">
        <is>
          <t>2026-10-02</t>
        </is>
      </c>
      <c r="F12" s="4" t="inlineStr">
        <is>
          <t>Example 1. Two secrets, same as FIN-2026-10-02-01.</t>
        </is>
      </c>
    </row>
    <row r="13" ht="48" customHeight="1">
      <c r="A13" s="4" t="inlineStr">
        <is>
          <t>Secrets Manager API</t>
        </is>
      </c>
      <c r="B13" s="40" t="n">
        <v>0.05</v>
      </c>
      <c r="C13" s="4" t="inlineStr">
        <is>
          <t>USD per 10,000 calls</t>
        </is>
      </c>
      <c r="D13" s="31" t="inlineStr">
        <is>
          <t>https://aws.amazon.com/secrets-manager/pricing/</t>
        </is>
      </c>
      <c r="E13" s="4" t="inlineStr">
        <is>
          <t>2026-10-02</t>
        </is>
      </c>
      <c r="F13" s="4" t="inlineStr">
        <is>
          <t>Same example. The model keeps 1,000 calls at the floor so this line stays $0.005.</t>
        </is>
      </c>
    </row>
    <row r="14" ht="48" customHeight="1">
      <c r="A14" s="4" t="inlineStr">
        <is>
          <t>CloudWatch Logs ingest</t>
        </is>
      </c>
      <c r="B14" s="40" t="n">
        <v>0.5</v>
      </c>
      <c r="C14" s="4" t="inlineStr">
        <is>
          <t>USD per GB</t>
        </is>
      </c>
      <c r="D14" s="31" t="inlineStr">
        <is>
          <t>https://aws.amazon.com/cloudwatch/pricing/</t>
        </is>
      </c>
      <c r="E14" s="4" t="inlineStr">
        <is>
          <t>2026-10-02</t>
        </is>
      </c>
      <c r="F14" s="4" t="inlineStr">
        <is>
          <t>Charged only above the 5 GB free tier. At or under 5 GB the line is $0, which is how FIN-2026-10-02-01 treated 1 GB.</t>
        </is>
      </c>
    </row>
    <row r="15" ht="48" customHeight="1">
      <c r="A15" s="4" t="inlineStr">
        <is>
          <t>CloudWatch Logs store</t>
        </is>
      </c>
      <c r="B15" s="40" t="n">
        <v>0.03</v>
      </c>
      <c r="C15" s="4" t="inlineStr">
        <is>
          <t>USD per GB-month</t>
        </is>
      </c>
      <c r="D15" s="31" t="inlineStr">
        <is>
          <t>https://aws.amazon.com/cloudwatch/pricing/</t>
        </is>
      </c>
      <c r="E15" s="4" t="inlineStr">
        <is>
          <t>2026-10-02</t>
        </is>
      </c>
      <c r="F15" s="4" t="inlineStr">
        <is>
          <t>Archive rate from the same examples. Applied only to GB above the 5 GB free tier. The model assumes the month of logs is retained uncompressed.</t>
        </is>
      </c>
    </row>
    <row r="16" ht="48" customHeight="1">
      <c r="A16" s="4" t="inlineStr">
        <is>
          <t>CloudWatch free tier</t>
        </is>
      </c>
      <c r="B16" s="38" t="n">
        <v>5</v>
      </c>
      <c r="C16" s="4" t="inlineStr">
        <is>
          <t>GB per month</t>
        </is>
      </c>
      <c r="D16" s="31" t="inlineStr">
        <is>
          <t>https://aws.amazon.com/cloudwatch/pricing/</t>
        </is>
      </c>
      <c r="E16" s="4" t="inlineStr">
        <is>
          <t>2026-10-02</t>
        </is>
      </c>
      <c r="F16" s="4" t="inlineStr">
        <is>
          <t>5 GB ingestion and 5 GB archive. Metrics in this model are the default service metrics only, $0.</t>
        </is>
      </c>
    </row>
    <row r="17" ht="48" customHeight="1">
      <c r="A17" s="4" t="inlineStr">
        <is>
          <t>Data transfer rate used</t>
        </is>
      </c>
      <c r="B17" s="40" t="n">
        <v>0.01</v>
      </c>
      <c r="C17" s="4" t="inlineStr">
        <is>
          <t>USD per GB</t>
        </is>
      </c>
      <c r="D17" s="31" t="inlineStr">
        <is>
          <t>https://pricing.us-east-1.amazonaws.com/offers/v1.0/aws/AmazonEC2/current/us-east-1/index.csv</t>
        </is>
      </c>
      <c r="E17" s="4" t="inlineStr">
        <is>
          <t>2026-10-02</t>
        </is>
      </c>
      <c r="F17" s="4" t="inlineStr">
        <is>
          <t>EC2 price list, publication 2026-09-25T17:45:21Z, rate effective 2026-09-01. SKU DataTransfer-Regional-Bytes: $0.010 per GB regional data transfer in/out/between AZs or using public or Elastic IPs or Elastic Load Balancing. The internet-egress per-GB tiers were not in that file. This line is the regional rate, not an invented internet rate. It can understate client egress.</t>
        </is>
      </c>
    </row>
    <row r="18" ht="48" customHeight="1">
      <c r="A18" s="4" t="inlineStr">
        <is>
          <t>Data transfer free GB</t>
        </is>
      </c>
      <c r="B18" s="38" t="n">
        <v>100</v>
      </c>
      <c r="C18" s="4" t="inlineStr">
        <is>
          <t>GB per month</t>
        </is>
      </c>
      <c r="D18" s="31" t="inlineStr">
        <is>
          <t>https://aws.amazon.com/ec2/pricing/on-demand/</t>
        </is>
      </c>
      <c r="E18" s="4" t="inlineStr">
        <is>
          <t>2026-10-02</t>
        </is>
      </c>
      <c r="F18" s="4" t="inlineStr">
        <is>
          <t>The EC2 on-demand page states 100 GB of data transfer out to the internet is free each month, aggregated across services and regions except China and GovCloud. Applied here before the regional rate above.</t>
        </is>
      </c>
    </row>
    <row r="19" ht="48" customHeight="1">
      <c r="A19" s="4" t="inlineStr">
        <is>
          <t>NAT gateway hourly</t>
        </is>
      </c>
      <c r="B19" s="40" t="n">
        <v>0.045</v>
      </c>
      <c r="C19" s="4" t="inlineStr">
        <is>
          <t>USD per hour</t>
        </is>
      </c>
      <c r="D19" s="31" t="inlineStr">
        <is>
          <t>https://pricing.us-east-1.amazonaws.com/offers/v1.0/aws/AmazonEC2/current/us-east-1/index.csv</t>
        </is>
      </c>
      <c r="E19" s="4" t="inlineStr">
        <is>
          <t>2026-10-02</t>
        </is>
      </c>
      <c r="F19" s="4" t="inlineStr">
        <is>
          <t>Same EC2 list and publication date. Standard NAT gateway hourly charge in us-east-1. Not in the total unless Inputs!NatOn is 1. FIN-2026-10-02-01 sensitivity was 730 x $0.045 = $32.85 before data.</t>
        </is>
      </c>
    </row>
    <row r="20" ht="48" customHeight="1">
      <c r="A20" s="4" t="inlineStr">
        <is>
          <t>NAT gateway data</t>
        </is>
      </c>
      <c r="B20" s="40" t="n">
        <v>0.045</v>
      </c>
      <c r="C20" s="4" t="inlineStr">
        <is>
          <t>USD per GB</t>
        </is>
      </c>
      <c r="D20" s="31" t="inlineStr">
        <is>
          <t>https://pricing.us-east-1.amazonaws.com/offers/v1.0/aws/AmazonEC2/current/us-east-1/index.csv</t>
        </is>
      </c>
      <c r="E20" s="4" t="inlineStr">
        <is>
          <t>2026-10-02</t>
        </is>
      </c>
      <c r="F20" s="4" t="inlineStr">
        <is>
          <t>Same list. Charged on the model's data-transfer GB only when NAT is on. Not a measured path.</t>
        </is>
      </c>
    </row>
    <row r="21" ht="48" customHeight="1">
      <c r="A21" s="4" t="inlineStr">
        <is>
          <t>Aurora Standard ACU</t>
        </is>
      </c>
      <c r="B21" s="40" t="n">
        <v>0.12</v>
      </c>
      <c r="C21" s="4" t="inlineStr">
        <is>
          <t>USD per ACU-hour</t>
        </is>
      </c>
      <c r="D21" s="31" t="inlineStr">
        <is>
          <t>https://aws.amazon.com/rds/aurora/pricing/</t>
        </is>
      </c>
      <c r="E21" s="4" t="inlineStr">
        <is>
          <t>2026-10-02</t>
        </is>
      </c>
      <c r="F21" s="4" t="inlineStr">
        <is>
          <t>Aurora PostgreSQL Serverless v2 Standard, N. Virginia, also on the RDS price list at $0.12 per ACU-hour. Alternate column only. Not in the total. I/O at $0.20 per million is not estimated.</t>
        </is>
      </c>
    </row>
    <row r="22" ht="48" customHeight="1">
      <c r="A22" s="4" t="inlineStr">
        <is>
          <t>Aurora storage</t>
        </is>
      </c>
      <c r="B22" s="40" t="n">
        <v>0.1</v>
      </c>
      <c r="C22" s="4" t="inlineStr">
        <is>
          <t>USD per GB-month</t>
        </is>
      </c>
      <c r="D22" s="31" t="inlineStr">
        <is>
          <t>https://pricing.us-east-1.amazonaws.com/offers/v1.0/aws/AmazonRDS/current/us-east-1/index.csv</t>
        </is>
      </c>
      <c r="E22" s="4" t="inlineStr">
        <is>
          <t>2026-10-02</t>
        </is>
      </c>
      <c r="F22" s="4" t="inlineStr">
        <is>
          <t>Same RDS price list. Aurora storage, $0.10 per GB-month consumed. Alternate column only.</t>
        </is>
      </c>
    </row>
    <row r="23" ht="48" customHeight="1">
      <c r="A23" s="4" t="inlineStr">
        <is>
          <t>CPU target</t>
        </is>
      </c>
      <c r="B23" s="40" t="n">
        <v>0.6</v>
      </c>
      <c r="C23" s="4" t="inlineStr">
        <is>
          <t>fraction</t>
        </is>
      </c>
      <c r="D23" s="31" t="inlineStr">
        <is>
          <t>https://docs.aws.amazon.com/AmazonECS/latest/developerguide/express-service-work.html</t>
        </is>
      </c>
      <c r="E23" s="4" t="inlineStr">
        <is>
          <t>2026-10-02</t>
        </is>
      </c>
      <c r="F23" s="4" t="inlineStr">
        <is>
          <t>Express Mode autoScalingTargetValue 60 on CPUUtilization. The model sizes so assumed CPU is 60% of provisioned CPU. This is the Express default, not a product requirement.</t>
        </is>
      </c>
    </row>
    <row r="24" ht="48" customHeight="1">
      <c r="A24" s="4" t="inlineStr">
        <is>
          <t>Express default max tasks</t>
        </is>
      </c>
      <c r="B24" s="38" t="n">
        <v>20</v>
      </c>
      <c r="C24" s="4" t="inlineStr">
        <is>
          <t>tasks</t>
        </is>
      </c>
      <c r="D24" s="31" t="inlineStr">
        <is>
          <t>https://docs.aws.amazon.com/AmazonECS/latest/developerguide/express-service-work.html</t>
        </is>
      </c>
      <c r="E24" s="4" t="inlineStr">
        <is>
          <t>2026-10-02</t>
        </is>
      </c>
      <c r="F24" s="4" t="inlineStr">
        <is>
          <t>desiredMaxTaskCount 20. The same page says this maximum can be increased or decreased. It is a setting, not a hard stop.</t>
        </is>
      </c>
    </row>
    <row r="25" ht="48" customHeight="1">
      <c r="A25" s="4" t="inlineStr">
        <is>
          <t>Tasks per service quota</t>
        </is>
      </c>
      <c r="B25" s="38" t="n">
        <v>5000</v>
      </c>
      <c r="C25" s="4" t="inlineStr">
        <is>
          <t>tasks</t>
        </is>
      </c>
      <c r="D25" s="31" t="inlineStr">
        <is>
          <t>https://docs.aws.amazon.com/general/latest/gr/ecs-service.html</t>
        </is>
      </c>
      <c r="E25" s="4" t="inlineStr">
        <is>
          <t>2026-10-02</t>
        </is>
      </c>
      <c r="F25" s="4" t="inlineStr">
        <is>
          <t>Amazon ECS service quota 'Tasks per service', each supported Region 5,000, adjustable No. The hard task-count stop for one service.</t>
        </is>
      </c>
    </row>
    <row r="26" ht="48" customHeight="1">
      <c r="A26" s="4" t="inlineStr">
        <is>
          <t>Fargate max task vCPU</t>
        </is>
      </c>
      <c r="B26" s="38" t="n">
        <v>32</v>
      </c>
      <c r="C26" s="4" t="inlineStr">
        <is>
          <t>vCPU</t>
        </is>
      </c>
      <c r="D26" s="31" t="inlineStr">
        <is>
          <t>https://docs.aws.amazon.com/AmazonECS/latest/developerguide/task_definition_parameters.html</t>
        </is>
      </c>
      <c r="E26" s="4" t="inlineStr">
        <is>
          <t>2026-10-02</t>
        </is>
      </c>
      <c r="F26" s="4" t="inlineStr">
        <is>
          <t>Linux task size 32768 CPU units (32 vCPU). Minimum memory at that size is 60 GB. A single task cannot be larger.</t>
        </is>
      </c>
    </row>
    <row r="27" ht="48" customHeight="1">
      <c r="A27" s="4" t="inlineStr">
        <is>
          <t>Fargate On-Demand vCPU quota</t>
        </is>
      </c>
      <c r="B27" s="38" t="n">
        <v>6</v>
      </c>
      <c r="C27" s="4" t="inlineStr">
        <is>
          <t>vCPU</t>
        </is>
      </c>
      <c r="D27" s="31" t="inlineStr">
        <is>
          <t>https://docs.aws.amazon.com/general/latest/gr/ecs-service.html</t>
        </is>
      </c>
      <c r="E27" s="4" t="inlineStr">
        <is>
          <t>2026-10-02</t>
        </is>
      </c>
      <c r="F27" s="4" t="inlineStr">
        <is>
          <t>Fargate On-Demand vCPU resource count, default 6, adjustable Yes. Flagged when exceeded. Not treated as a hard stop.</t>
        </is>
      </c>
    </row>
    <row r="28" ht="48" customHeight="1">
      <c r="A28" s="4" t="inlineStr">
        <is>
          <t>ALB public IPv4 count</t>
        </is>
      </c>
      <c r="B28" s="38" t="n">
        <v>2</v>
      </c>
      <c r="C28" s="4" t="inlineStr">
        <is>
          <t>addresses</t>
        </is>
      </c>
      <c r="D28" s="31" t="inlineStr">
        <is>
          <t>https://aws.amazon.com/vpc/pricing/</t>
        </is>
      </c>
      <c r="E28" s="4" t="inlineStr">
        <is>
          <t>2026-10-02</t>
        </is>
      </c>
      <c r="F28" s="4" t="inlineStr">
        <is>
          <t>FIN-2026-10-02-01 assumption: two in-use addresses on the one load balancer, from the VPC pricing example, not a measured Express attachment.</t>
        </is>
      </c>
    </row>
    <row r="29" ht="48" customHeight="1">
      <c r="A29" s="4" t="inlineStr">
        <is>
          <t>Minimum billed LCU</t>
        </is>
      </c>
      <c r="B29" s="38" t="n">
        <v>1</v>
      </c>
      <c r="C29" s="4" t="inlineStr">
        <is>
          <t>LCU</t>
        </is>
      </c>
      <c r="D29" s="31" t="inlineStr">
        <is>
          <t>https://aws.amazon.com/elasticloadbalancing/pricing/</t>
        </is>
      </c>
      <c r="E29" s="4" t="inlineStr">
        <is>
          <t>2026-10-02</t>
        </is>
      </c>
      <c r="F29" s="4" t="inlineStr">
        <is>
          <t>Finance assumption carried from FIN-2026-10-02-01 so the idle floor does not drop the LCU line below $5.84. Computed LCU replaces it once load exceeds 1.</t>
        </is>
      </c>
    </row>
    <row r="30" ht="48" customHeight="1">
      <c r="A30" s="4" t="inlineStr">
        <is>
          <t>Secret count</t>
        </is>
      </c>
      <c r="B30" s="38" t="n">
        <v>2</v>
      </c>
      <c r="C30" s="4" t="inlineStr">
        <is>
          <t>secrets</t>
        </is>
      </c>
      <c r="D30" s="31" t="inlineStr">
        <is>
          <t>https://aws.amazon.com/secrets-manager/pricing/</t>
        </is>
      </c>
      <c r="E30" s="4" t="inlineStr">
        <is>
          <t>2026-10-02</t>
        </is>
      </c>
      <c r="F30" s="4" t="inlineStr">
        <is>
          <t>Same two secrets as FIN-2026-10-02-01. Not a load function.</t>
        </is>
      </c>
    </row>
    <row r="31" ht="48" customHeight="1">
      <c r="A31" s="4" t="inlineStr">
        <is>
          <t>Secret API calls</t>
        </is>
      </c>
      <c r="B31" s="38" t="n">
        <v>1000</v>
      </c>
      <c r="C31" s="4" t="inlineStr">
        <is>
          <t>calls per month</t>
        </is>
      </c>
      <c r="D31" s="31" t="inlineStr">
        <is>
          <t>https://aws.amazon.com/secrets-manager/pricing/</t>
        </is>
      </c>
      <c r="E31" s="4" t="inlineStr">
        <is>
          <t>2026-10-02</t>
        </is>
      </c>
      <c r="F31" s="4" t="inlineStr">
        <is>
          <t>FIN-2026-10-02-01 assumption. Tasks are not assumed to call Secrets Manager on every request.</t>
        </is>
      </c>
    </row>
    <row r="32" ht="48" customHeight="1">
      <c r="A32" s="4" t="inlineStr">
        <is>
          <t>RDS connection divisor</t>
        </is>
      </c>
      <c r="B32" s="38" t="n">
        <v>9531392</v>
      </c>
      <c r="C32" s="4" t="inlineStr">
        <is>
          <t>bytes per connection</t>
        </is>
      </c>
      <c r="D32" s="31" t="inlineStr">
        <is>
          <t>https://docs.aws.amazon.com/AmazonRDS/latest/UserGuide/CHAP_Limits.html</t>
        </is>
      </c>
      <c r="E32" s="4" t="inlineStr">
        <is>
          <t>2026-10-02</t>
        </is>
      </c>
      <c r="F32" s="4" t="inlineStr">
        <is>
          <t>PostgreSQL default max_connections = LEAST(DBInstanceClassMemory/9531392, 5000). The model uses advertised GiB. AWS says the parameter memory is smaller because of OS and RDS reserve, so this cap is a ceiling and can flag late.</t>
        </is>
      </c>
    </row>
    <row r="33" ht="48" customHeight="1">
      <c r="A33" s="4" t="inlineStr">
        <is>
          <t>RDS connection cap</t>
        </is>
      </c>
      <c r="B33" s="38" t="n">
        <v>5000</v>
      </c>
      <c r="C33" s="4" t="inlineStr">
        <is>
          <t>connections</t>
        </is>
      </c>
      <c r="D33" s="31" t="inlineStr">
        <is>
          <t>https://docs.aws.amazon.com/AmazonRDS/latest/UserGuide/CHAP_Limits.html</t>
        </is>
      </c>
      <c r="E33" s="4" t="inlineStr">
        <is>
          <t>2026-10-02</t>
        </is>
      </c>
      <c r="F33" s="4" t="inlineStr">
        <is>
          <t>The LEAST cap in the same formula.</t>
        </is>
      </c>
    </row>
    <row r="34" ht="48" customHeight="1">
      <c r="A34" s="4" t="inlineStr">
        <is>
          <t>Aurora vCPU per ACU</t>
        </is>
      </c>
      <c r="B34" s="38" t="n">
        <v>1</v>
      </c>
      <c r="C34" s="4" t="inlineStr">
        <is>
          <t>vCPU assumed per ACU</t>
        </is>
      </c>
      <c r="D34" s="31" t="inlineStr">
        <is>
          <t>https://aws.amazon.com/rds/aurora/pricing/</t>
        </is>
      </c>
      <c r="E34" s="4" t="inlineStr">
        <is>
          <t>2026-10-02</t>
        </is>
      </c>
      <c r="F34" s="4" t="inlineStr">
        <is>
          <t>Finance assumption, not a published vCPU figure. AWS publishes about 2 GiB per ACU and not a vCPU count. The alternate column counts 1 ACU as 1 vCPU, with a floor of 0.5 ACU.</t>
        </is>
      </c>
    </row>
  </sheetData>
  <autoFilter ref="A4:F34"/>
  <mergeCells count="1">
    <mergeCell ref="A2:F2"/>
  </mergeCells>
  <pageMargins left="0.5" right="0.5" top="0.75" bottom="0.5" header="0.5" footer="0.5"/>
  <pageSetup orientation="landscape" paperSize="3" fitToHeight="1" fitToWidth="1"/>
  <headerFooter>
    <oddHeader>&amp;LFIN-2026-10-02-02</oddHeader>
    <oddFooter>&amp;LEstimate only. No provision. PoC $0.&amp;RPage &amp;P</oddFooter>
    <evenHeader/>
    <evenFooter/>
    <firstHeader/>
    <firstFooter/>
  </headerFooter>
</worksheet>
</file>

<file path=xl/worksheets/sheet7.xml><?xml version="1.0" encoding="utf-8"?>
<worksheet xmlns="http://schemas.openxmlformats.org/spreadsheetml/2006/main">
  <sheetPr>
    <tabColor rgb="001F4E79"/>
    <outlinePr summaryBelow="1" summaryRight="1"/>
    <pageSetUpPr fitToPage="1"/>
  </sheetPr>
  <dimension ref="A1:J265"/>
  <sheetViews>
    <sheetView showGridLines="0" workbookViewId="0">
      <pane ySplit="4" topLeftCell="A5" activePane="bottomLeft" state="frozen"/>
      <selection pane="bottomLeft" activeCell="A1" sqref="A1"/>
    </sheetView>
  </sheetViews>
  <sheetFormatPr baseColWidth="8" defaultRowHeight="15"/>
  <cols>
    <col width="22" customWidth="1" min="1" max="1"/>
    <col width="16" customWidth="1" min="2" max="2"/>
    <col width="12" customWidth="1" min="3" max="3"/>
    <col width="14" customWidth="1" min="4" max="4"/>
    <col width="20" customWidth="1" min="5" max="5"/>
    <col width="18" customWidth="1" min="6" max="6"/>
    <col width="26" customWidth="1" min="7" max="7"/>
    <col width="18" customWidth="1" min="9" max="9"/>
    <col width="28" customWidth="1" min="10" max="10"/>
  </cols>
  <sheetData>
    <row r="1">
      <c r="A1" s="1" t="inlineStr">
        <is>
          <t>Single-AZ PostgreSQL classes and Fargate sizes</t>
        </is>
      </c>
    </row>
    <row r="2" ht="36" customHeight="1">
      <c r="A2" s="2" t="inlineStr">
        <is>
          <t>Classes are current generation, On-Demand, regional Single-AZ PostgreSQL (Location Type = AWS Region; Database Engine = PostgreSQL), from the RDS us-east-1 price list published 2026-10-01T06:02:30Z, read 2026-10-02. Outpost / Outposts SKUs are excluded. Sorted by hourly price ascending then class name so the first row that clears CPU and connections is the cheapest. Connection cap uses advertised GiB and the published formula LEAST(bytes/9531392, 5000). Usable vCPU is vCPU times the 60% target. Fargate sizes are the Linux minimum memory for each CPU from the task size table, read 2026-10-02.</t>
        </is>
      </c>
    </row>
    <row r="4">
      <c r="A4" s="3" t="inlineStr">
        <is>
          <t>Class</t>
        </is>
      </c>
      <c r="B4" s="3" t="inlineStr">
        <is>
          <t>USD per hour</t>
        </is>
      </c>
      <c r="C4" s="3" t="inlineStr">
        <is>
          <t>vCPU</t>
        </is>
      </c>
      <c r="D4" s="3" t="inlineStr">
        <is>
          <t>Memory GiB</t>
        </is>
      </c>
      <c r="E4" s="3" t="inlineStr">
        <is>
          <t>Family</t>
        </is>
      </c>
      <c r="F4" s="3" t="inlineStr">
        <is>
          <t>Connection cap</t>
        </is>
      </c>
      <c r="G4" s="3" t="inlineStr">
        <is>
          <t>Usable vCPU at target</t>
        </is>
      </c>
      <c r="I4" s="13" t="inlineStr">
        <is>
          <t>Fargate vCPU</t>
        </is>
      </c>
      <c r="J4" s="13" t="inlineStr">
        <is>
          <t>Minimum memory GB</t>
        </is>
      </c>
    </row>
    <row r="5">
      <c r="A5" s="10" t="inlineStr">
        <is>
          <t>db.t4g.micro</t>
        </is>
      </c>
      <c r="B5" s="46" t="n">
        <v>0.016</v>
      </c>
      <c r="C5" s="10" t="n">
        <v>2</v>
      </c>
      <c r="D5" s="10" t="n">
        <v>1</v>
      </c>
      <c r="E5" s="10" t="inlineStr">
        <is>
          <t>General purpose</t>
        </is>
      </c>
      <c r="F5" s="16">
        <f>MIN(ConnCapMax,D5*1024*1024*1024/ConnDivisor)</f>
        <v/>
      </c>
      <c r="G5" s="15">
        <f>C5*CpuTarget</f>
        <v/>
      </c>
      <c r="I5" s="15" t="n">
        <v>0.25</v>
      </c>
      <c r="J5" s="15" t="n">
        <v>0.5</v>
      </c>
    </row>
    <row r="6">
      <c r="A6" s="10" t="inlineStr">
        <is>
          <t>db.t3.micro</t>
        </is>
      </c>
      <c r="B6" s="46" t="n">
        <v>0.018</v>
      </c>
      <c r="C6" s="10" t="n">
        <v>2</v>
      </c>
      <c r="D6" s="10" t="n">
        <v>1</v>
      </c>
      <c r="E6" s="10" t="inlineStr">
        <is>
          <t>General purpose</t>
        </is>
      </c>
      <c r="F6" s="16">
        <f>MIN(ConnCapMax,D6*1024*1024*1024/ConnDivisor)</f>
        <v/>
      </c>
      <c r="G6" s="15">
        <f>C6*CpuTarget</f>
        <v/>
      </c>
      <c r="I6" s="15" t="n">
        <v>0.5</v>
      </c>
      <c r="J6" s="15" t="n">
        <v>1</v>
      </c>
    </row>
    <row r="7">
      <c r="A7" s="10" t="inlineStr">
        <is>
          <t>db.t4g.small</t>
        </is>
      </c>
      <c r="B7" s="46" t="n">
        <v>0.032</v>
      </c>
      <c r="C7" s="10" t="n">
        <v>2</v>
      </c>
      <c r="D7" s="10" t="n">
        <v>2</v>
      </c>
      <c r="E7" s="10" t="inlineStr">
        <is>
          <t>General purpose</t>
        </is>
      </c>
      <c r="F7" s="16">
        <f>MIN(ConnCapMax,D7*1024*1024*1024/ConnDivisor)</f>
        <v/>
      </c>
      <c r="G7" s="15">
        <f>C7*CpuTarget</f>
        <v/>
      </c>
      <c r="I7" s="15" t="n">
        <v>1</v>
      </c>
      <c r="J7" s="15" t="n">
        <v>2</v>
      </c>
    </row>
    <row r="8">
      <c r="A8" s="10" t="inlineStr">
        <is>
          <t>db.t3.small</t>
        </is>
      </c>
      <c r="B8" s="46" t="n">
        <v>0.036</v>
      </c>
      <c r="C8" s="10" t="n">
        <v>2</v>
      </c>
      <c r="D8" s="10" t="n">
        <v>2</v>
      </c>
      <c r="E8" s="10" t="inlineStr">
        <is>
          <t>General purpose</t>
        </is>
      </c>
      <c r="F8" s="16">
        <f>MIN(ConnCapMax,D8*1024*1024*1024/ConnDivisor)</f>
        <v/>
      </c>
      <c r="G8" s="15">
        <f>C8*CpuTarget</f>
        <v/>
      </c>
      <c r="I8" s="15" t="n">
        <v>2</v>
      </c>
      <c r="J8" s="15" t="n">
        <v>4</v>
      </c>
    </row>
    <row r="9">
      <c r="A9" s="10" t="inlineStr">
        <is>
          <t>db.t4g.medium</t>
        </is>
      </c>
      <c r="B9" s="46" t="n">
        <v>0.065</v>
      </c>
      <c r="C9" s="10" t="n">
        <v>2</v>
      </c>
      <c r="D9" s="10" t="n">
        <v>4</v>
      </c>
      <c r="E9" s="10" t="inlineStr">
        <is>
          <t>General purpose</t>
        </is>
      </c>
      <c r="F9" s="16">
        <f>MIN(ConnCapMax,D9*1024*1024*1024/ConnDivisor)</f>
        <v/>
      </c>
      <c r="G9" s="15">
        <f>C9*CpuTarget</f>
        <v/>
      </c>
      <c r="I9" s="15" t="n">
        <v>4</v>
      </c>
      <c r="J9" s="15" t="n">
        <v>8</v>
      </c>
    </row>
    <row r="10">
      <c r="A10" s="10" t="inlineStr">
        <is>
          <t>db.t3.medium</t>
        </is>
      </c>
      <c r="B10" s="46" t="n">
        <v>0.07199999999999999</v>
      </c>
      <c r="C10" s="10" t="n">
        <v>2</v>
      </c>
      <c r="D10" s="10" t="n">
        <v>4</v>
      </c>
      <c r="E10" s="10" t="inlineStr">
        <is>
          <t>General purpose</t>
        </is>
      </c>
      <c r="F10" s="16">
        <f>MIN(ConnCapMax,D10*1024*1024*1024/ConnDivisor)</f>
        <v/>
      </c>
      <c r="G10" s="15">
        <f>C10*CpuTarget</f>
        <v/>
      </c>
      <c r="I10" s="15" t="n">
        <v>8</v>
      </c>
      <c r="J10" s="15" t="n">
        <v>16</v>
      </c>
    </row>
    <row r="11">
      <c r="A11" s="10" t="inlineStr">
        <is>
          <t>db.t4g.large</t>
        </is>
      </c>
      <c r="B11" s="46" t="n">
        <v>0.129</v>
      </c>
      <c r="C11" s="10" t="n">
        <v>2</v>
      </c>
      <c r="D11" s="10" t="n">
        <v>8</v>
      </c>
      <c r="E11" s="10" t="inlineStr">
        <is>
          <t>General purpose</t>
        </is>
      </c>
      <c r="F11" s="16">
        <f>MIN(ConnCapMax,D11*1024*1024*1024/ConnDivisor)</f>
        <v/>
      </c>
      <c r="G11" s="15">
        <f>C11*CpuTarget</f>
        <v/>
      </c>
      <c r="I11" s="15" t="n">
        <v>16</v>
      </c>
      <c r="J11" s="15" t="n">
        <v>32</v>
      </c>
    </row>
    <row r="12">
      <c r="A12" s="10" t="inlineStr">
        <is>
          <t>db.t3.large</t>
        </is>
      </c>
      <c r="B12" s="46" t="n">
        <v>0.145</v>
      </c>
      <c r="C12" s="10" t="n">
        <v>2</v>
      </c>
      <c r="D12" s="10" t="n">
        <v>8</v>
      </c>
      <c r="E12" s="10" t="inlineStr">
        <is>
          <t>General purpose</t>
        </is>
      </c>
      <c r="F12" s="16">
        <f>MIN(ConnCapMax,D12*1024*1024*1024/ConnDivisor)</f>
        <v/>
      </c>
      <c r="G12" s="15">
        <f>C12*CpuTarget</f>
        <v/>
      </c>
      <c r="I12" s="15" t="n">
        <v>32</v>
      </c>
      <c r="J12" s="15" t="n">
        <v>60</v>
      </c>
    </row>
    <row r="13">
      <c r="A13" s="10" t="inlineStr">
        <is>
          <t>db.m6g.large</t>
        </is>
      </c>
      <c r="B13" s="46" t="n">
        <v>0.159</v>
      </c>
      <c r="C13" s="10" t="n">
        <v>2</v>
      </c>
      <c r="D13" s="10" t="n">
        <v>8</v>
      </c>
      <c r="E13" s="10" t="inlineStr">
        <is>
          <t>General purpose</t>
        </is>
      </c>
      <c r="F13" s="16">
        <f>MIN(ConnCapMax,D13*1024*1024*1024/ConnDivisor)</f>
        <v/>
      </c>
      <c r="G13" s="15">
        <f>C13*CpuTarget</f>
        <v/>
      </c>
    </row>
    <row r="14">
      <c r="A14" s="10" t="inlineStr">
        <is>
          <t>db.m7g.large</t>
        </is>
      </c>
      <c r="B14" s="46" t="n">
        <v>0.168</v>
      </c>
      <c r="C14" s="10" t="n">
        <v>2</v>
      </c>
      <c r="D14" s="10" t="n">
        <v>8</v>
      </c>
      <c r="E14" s="10" t="inlineStr">
        <is>
          <t>General purpose</t>
        </is>
      </c>
      <c r="F14" s="16">
        <f>MIN(ConnCapMax,D14*1024*1024*1024/ConnDivisor)</f>
        <v/>
      </c>
      <c r="G14" s="15">
        <f>C14*CpuTarget</f>
        <v/>
      </c>
      <c r="I14" t="inlineStr">
        <is>
          <t>Source</t>
        </is>
      </c>
      <c r="J14" t="inlineStr">
        <is>
          <t>https://docs.aws.amazon.com/AmazonECS/latest/developerguide/task_definition_parameters.html</t>
        </is>
      </c>
    </row>
    <row r="15">
      <c r="A15" s="10" t="inlineStr">
        <is>
          <t>db.m8g.large</t>
        </is>
      </c>
      <c r="B15" s="46" t="n">
        <v>0.168</v>
      </c>
      <c r="C15" s="10" t="n">
        <v>2</v>
      </c>
      <c r="D15" s="10" t="n">
        <v>8</v>
      </c>
      <c r="E15" s="10" t="inlineStr">
        <is>
          <t>General purpose</t>
        </is>
      </c>
      <c r="F15" s="16">
        <f>MIN(ConnCapMax,D15*1024*1024*1024/ConnDivisor)</f>
        <v/>
      </c>
      <c r="G15" s="15">
        <f>C15*CpuTarget</f>
        <v/>
      </c>
      <c r="I15" t="inlineStr">
        <is>
          <t>Date read</t>
        </is>
      </c>
      <c r="J15" t="inlineStr">
        <is>
          <t>2026-10-02</t>
        </is>
      </c>
    </row>
    <row r="16" ht="32" customHeight="1">
      <c r="A16" s="10" t="inlineStr">
        <is>
          <t>db.m5.large</t>
        </is>
      </c>
      <c r="B16" s="46" t="n">
        <v>0.178</v>
      </c>
      <c r="C16" s="10" t="n">
        <v>2</v>
      </c>
      <c r="D16" s="10" t="n">
        <v>8</v>
      </c>
      <c r="E16" s="10" t="inlineStr">
        <is>
          <t>General purpose</t>
        </is>
      </c>
      <c r="F16" s="16">
        <f>MIN(ConnCapMax,D16*1024*1024*1024/ConnDivisor)</f>
        <v/>
      </c>
      <c r="G16" s="15">
        <f>C16*CpuTarget</f>
        <v/>
      </c>
      <c r="I16" t="inlineStr">
        <is>
          <t>Note</t>
        </is>
      </c>
      <c r="J16" s="2" t="inlineStr">
        <is>
          <t>32 vCPU minimum memory is 60 GB on that table (60, 120, or 244 GB). The model uses the minimum.</t>
        </is>
      </c>
    </row>
    <row r="17">
      <c r="A17" s="10" t="inlineStr">
        <is>
          <t>db.m6i.large</t>
        </is>
      </c>
      <c r="B17" s="46" t="n">
        <v>0.178</v>
      </c>
      <c r="C17" s="10" t="n">
        <v>2</v>
      </c>
      <c r="D17" s="10" t="n">
        <v>8</v>
      </c>
      <c r="E17" s="10" t="inlineStr">
        <is>
          <t>General purpose</t>
        </is>
      </c>
      <c r="F17" s="16">
        <f>MIN(ConnCapMax,D17*1024*1024*1024/ConnDivisor)</f>
        <v/>
      </c>
      <c r="G17" s="15">
        <f>C17*CpuTarget</f>
        <v/>
      </c>
    </row>
    <row r="18">
      <c r="A18" s="10" t="inlineStr">
        <is>
          <t>db.m7i.large</t>
        </is>
      </c>
      <c r="B18" s="46" t="n">
        <v>0.178</v>
      </c>
      <c r="C18" s="10" t="n">
        <v>2</v>
      </c>
      <c r="D18" s="10" t="n">
        <v>8</v>
      </c>
      <c r="E18" s="10" t="inlineStr">
        <is>
          <t>General purpose</t>
        </is>
      </c>
      <c r="F18" s="16">
        <f>MIN(ConnCapMax,D18*1024*1024*1024/ConnDivisor)</f>
        <v/>
      </c>
      <c r="G18" s="15">
        <f>C18*CpuTarget</f>
        <v/>
      </c>
    </row>
    <row r="19">
      <c r="A19" s="10" t="inlineStr">
        <is>
          <t>db.m9g.large</t>
        </is>
      </c>
      <c r="B19" s="46" t="n">
        <v>0.183</v>
      </c>
      <c r="C19" s="10" t="n">
        <v>2</v>
      </c>
      <c r="D19" s="10" t="n">
        <v>8</v>
      </c>
      <c r="E19" s="10" t="inlineStr">
        <is>
          <t>General purpose</t>
        </is>
      </c>
      <c r="F19" s="16">
        <f>MIN(ConnCapMax,D19*1024*1024*1024/ConnDivisor)</f>
        <v/>
      </c>
      <c r="G19" s="15">
        <f>C19*CpuTarget</f>
        <v/>
      </c>
    </row>
    <row r="20">
      <c r="A20" s="10" t="inlineStr">
        <is>
          <t>db.m6gd.large</t>
        </is>
      </c>
      <c r="B20" s="46" t="n">
        <v>0.187</v>
      </c>
      <c r="C20" s="10" t="n">
        <v>2</v>
      </c>
      <c r="D20" s="10" t="n">
        <v>8</v>
      </c>
      <c r="E20" s="10" t="inlineStr">
        <is>
          <t>General purpose</t>
        </is>
      </c>
      <c r="F20" s="16">
        <f>MIN(ConnCapMax,D20*1024*1024*1024/ConnDivisor)</f>
        <v/>
      </c>
      <c r="G20" s="15">
        <f>C20*CpuTarget</f>
        <v/>
      </c>
    </row>
    <row r="21">
      <c r="A21" s="10" t="inlineStr">
        <is>
          <t>db.m8gd.large</t>
        </is>
      </c>
      <c r="B21" s="46" t="n">
        <v>0.1976</v>
      </c>
      <c r="C21" s="10" t="n">
        <v>2</v>
      </c>
      <c r="D21" s="10" t="n">
        <v>8</v>
      </c>
      <c r="E21" s="10" t="inlineStr">
        <is>
          <t>Memory optimized</t>
        </is>
      </c>
      <c r="F21" s="16">
        <f>MIN(ConnCapMax,D21*1024*1024*1024/ConnDivisor)</f>
        <v/>
      </c>
      <c r="G21" s="15">
        <f>C21*CpuTarget</f>
        <v/>
      </c>
    </row>
    <row r="22">
      <c r="A22" s="10" t="inlineStr">
        <is>
          <t>db.m5d.large</t>
        </is>
      </c>
      <c r="B22" s="46" t="n">
        <v>0.21</v>
      </c>
      <c r="C22" s="10" t="n">
        <v>2</v>
      </c>
      <c r="D22" s="10" t="n">
        <v>8</v>
      </c>
      <c r="E22" s="10" t="inlineStr">
        <is>
          <t>General purpose</t>
        </is>
      </c>
      <c r="F22" s="16">
        <f>MIN(ConnCapMax,D22*1024*1024*1024/ConnDivisor)</f>
        <v/>
      </c>
      <c r="G22" s="15">
        <f>C22*CpuTarget</f>
        <v/>
      </c>
    </row>
    <row r="23">
      <c r="A23" s="10" t="inlineStr">
        <is>
          <t>db.m8a.large</t>
        </is>
      </c>
      <c r="B23" s="46" t="n">
        <v>0.2149</v>
      </c>
      <c r="C23" s="10" t="n">
        <v>2</v>
      </c>
      <c r="D23" s="10" t="n">
        <v>8</v>
      </c>
      <c r="E23" s="10" t="inlineStr">
        <is>
          <t>General purpose</t>
        </is>
      </c>
      <c r="F23" s="16">
        <f>MIN(ConnCapMax,D23*1024*1024*1024/ConnDivisor)</f>
        <v/>
      </c>
      <c r="G23" s="15">
        <f>C23*CpuTarget</f>
        <v/>
      </c>
    </row>
    <row r="24">
      <c r="A24" s="10" t="inlineStr">
        <is>
          <t>db.m6id.large</t>
        </is>
      </c>
      <c r="B24" s="46" t="n">
        <v>0.224</v>
      </c>
      <c r="C24" s="10" t="n">
        <v>2</v>
      </c>
      <c r="D24" s="10" t="n">
        <v>8</v>
      </c>
      <c r="E24" s="10" t="inlineStr">
        <is>
          <t>General purpose</t>
        </is>
      </c>
      <c r="F24" s="16">
        <f>MIN(ConnCapMax,D24*1024*1024*1024/ConnDivisor)</f>
        <v/>
      </c>
      <c r="G24" s="15">
        <f>C24*CpuTarget</f>
        <v/>
      </c>
    </row>
    <row r="25">
      <c r="A25" s="10" t="inlineStr">
        <is>
          <t>db.r6g.large</t>
        </is>
      </c>
      <c r="B25" s="46" t="n">
        <v>0.225</v>
      </c>
      <c r="C25" s="10" t="n">
        <v>2</v>
      </c>
      <c r="D25" s="10" t="n">
        <v>16</v>
      </c>
      <c r="E25" s="10" t="inlineStr">
        <is>
          <t>Memory optimized</t>
        </is>
      </c>
      <c r="F25" s="16">
        <f>MIN(ConnCapMax,D25*1024*1024*1024/ConnDivisor)</f>
        <v/>
      </c>
      <c r="G25" s="15">
        <f>C25*CpuTarget</f>
        <v/>
      </c>
    </row>
    <row r="26">
      <c r="A26" s="10" t="inlineStr">
        <is>
          <t>db.r7g.large</t>
        </is>
      </c>
      <c r="B26" s="46" t="n">
        <v>0.239</v>
      </c>
      <c r="C26" s="10" t="n">
        <v>2</v>
      </c>
      <c r="D26" s="10" t="n">
        <v>16</v>
      </c>
      <c r="E26" s="10" t="inlineStr">
        <is>
          <t>Memory optimized</t>
        </is>
      </c>
      <c r="F26" s="16">
        <f>MIN(ConnCapMax,D26*1024*1024*1024/ConnDivisor)</f>
        <v/>
      </c>
      <c r="G26" s="15">
        <f>C26*CpuTarget</f>
        <v/>
      </c>
    </row>
    <row r="27">
      <c r="A27" s="10" t="inlineStr">
        <is>
          <t>db.r8g.large</t>
        </is>
      </c>
      <c r="B27" s="46" t="n">
        <v>0.239</v>
      </c>
      <c r="C27" s="10" t="n">
        <v>2</v>
      </c>
      <c r="D27" s="10" t="n">
        <v>16</v>
      </c>
      <c r="E27" s="10" t="inlineStr">
        <is>
          <t>Memory optimized</t>
        </is>
      </c>
      <c r="F27" s="16">
        <f>MIN(ConnCapMax,D27*1024*1024*1024/ConnDivisor)</f>
        <v/>
      </c>
      <c r="G27" s="15">
        <f>C27*CpuTarget</f>
        <v/>
      </c>
    </row>
    <row r="28">
      <c r="A28" s="10" t="inlineStr">
        <is>
          <t>db.r5.large</t>
        </is>
      </c>
      <c r="B28" s="46" t="n">
        <v>0.25</v>
      </c>
      <c r="C28" s="10" t="n">
        <v>2</v>
      </c>
      <c r="D28" s="10" t="n">
        <v>16</v>
      </c>
      <c r="E28" s="10" t="inlineStr">
        <is>
          <t>Memory optimized</t>
        </is>
      </c>
      <c r="F28" s="16">
        <f>MIN(ConnCapMax,D28*1024*1024*1024/ConnDivisor)</f>
        <v/>
      </c>
      <c r="G28" s="15">
        <f>C28*CpuTarget</f>
        <v/>
      </c>
    </row>
    <row r="29">
      <c r="A29" s="10" t="inlineStr">
        <is>
          <t>db.r6i.large</t>
        </is>
      </c>
      <c r="B29" s="46" t="n">
        <v>0.25</v>
      </c>
      <c r="C29" s="10" t="n">
        <v>2</v>
      </c>
      <c r="D29" s="10" t="n">
        <v>16</v>
      </c>
      <c r="E29" s="10" t="inlineStr">
        <is>
          <t>Memory optimized</t>
        </is>
      </c>
      <c r="F29" s="16">
        <f>MIN(ConnCapMax,D29*1024*1024*1024/ConnDivisor)</f>
        <v/>
      </c>
      <c r="G29" s="15">
        <f>C29*CpuTarget</f>
        <v/>
      </c>
    </row>
    <row r="30">
      <c r="A30" s="10" t="inlineStr">
        <is>
          <t>db.r7i.large</t>
        </is>
      </c>
      <c r="B30" s="46" t="n">
        <v>0.25</v>
      </c>
      <c r="C30" s="10" t="n">
        <v>2</v>
      </c>
      <c r="D30" s="10" t="n">
        <v>16</v>
      </c>
      <c r="E30" s="10" t="inlineStr">
        <is>
          <t>Memory optimized</t>
        </is>
      </c>
      <c r="F30" s="16">
        <f>MIN(ConnCapMax,D30*1024*1024*1024/ConnDivisor)</f>
        <v/>
      </c>
      <c r="G30" s="15">
        <f>C30*CpuTarget</f>
        <v/>
      </c>
    </row>
    <row r="31">
      <c r="A31" s="10" t="inlineStr">
        <is>
          <t>db.r6gd.large</t>
        </is>
      </c>
      <c r="B31" s="46" t="n">
        <v>0.257</v>
      </c>
      <c r="C31" s="10" t="n">
        <v>2</v>
      </c>
      <c r="D31" s="10" t="n">
        <v>16</v>
      </c>
      <c r="E31" s="10" t="inlineStr">
        <is>
          <t>Memory optimized</t>
        </is>
      </c>
      <c r="F31" s="16">
        <f>MIN(ConnCapMax,D31*1024*1024*1024/ConnDivisor)</f>
        <v/>
      </c>
      <c r="G31" s="15">
        <f>C31*CpuTarget</f>
        <v/>
      </c>
    </row>
    <row r="32">
      <c r="A32" s="10" t="inlineStr">
        <is>
          <t>db.m6in.large</t>
        </is>
      </c>
      <c r="B32" s="46" t="n">
        <v>0.258</v>
      </c>
      <c r="C32" s="10" t="n">
        <v>2</v>
      </c>
      <c r="D32" s="10" t="n">
        <v>8</v>
      </c>
      <c r="E32" s="10" t="inlineStr">
        <is>
          <t>General purpose</t>
        </is>
      </c>
      <c r="F32" s="16">
        <f>MIN(ConnCapMax,D32*1024*1024*1024/ConnDivisor)</f>
        <v/>
      </c>
      <c r="G32" s="15">
        <f>C32*CpuTarget</f>
        <v/>
      </c>
    </row>
    <row r="33">
      <c r="A33" s="10" t="inlineStr">
        <is>
          <t>db.t4g.xlarge</t>
        </is>
      </c>
      <c r="B33" s="46" t="n">
        <v>0.258</v>
      </c>
      <c r="C33" s="10" t="n">
        <v>4</v>
      </c>
      <c r="D33" s="10" t="n">
        <v>16</v>
      </c>
      <c r="E33" s="10" t="inlineStr">
        <is>
          <t>General purpose</t>
        </is>
      </c>
      <c r="F33" s="16">
        <f>MIN(ConnCapMax,D33*1024*1024*1024/ConnDivisor)</f>
        <v/>
      </c>
      <c r="G33" s="15">
        <f>C33*CpuTarget</f>
        <v/>
      </c>
    </row>
    <row r="34">
      <c r="A34" s="10" t="inlineStr">
        <is>
          <t>db.r8gd.large</t>
        </is>
      </c>
      <c r="B34" s="46" t="n">
        <v>0.273</v>
      </c>
      <c r="C34" s="10" t="n">
        <v>2</v>
      </c>
      <c r="D34" s="10" t="n">
        <v>16</v>
      </c>
      <c r="E34" s="10" t="inlineStr">
        <is>
          <t>Memory optimized</t>
        </is>
      </c>
      <c r="F34" s="16">
        <f>MIN(ConnCapMax,D34*1024*1024*1024/ConnDivisor)</f>
        <v/>
      </c>
      <c r="G34" s="15">
        <f>C34*CpuTarget</f>
        <v/>
      </c>
    </row>
    <row r="35">
      <c r="A35" s="10" t="inlineStr">
        <is>
          <t>db.r5d.large</t>
        </is>
      </c>
      <c r="B35" s="46" t="n">
        <v>0.286</v>
      </c>
      <c r="C35" s="10" t="n">
        <v>2</v>
      </c>
      <c r="D35" s="10" t="n">
        <v>16</v>
      </c>
      <c r="E35" s="10" t="inlineStr">
        <is>
          <t>Memory optimized</t>
        </is>
      </c>
      <c r="F35" s="16">
        <f>MIN(ConnCapMax,D35*1024*1024*1024/ConnDivisor)</f>
        <v/>
      </c>
      <c r="G35" s="15">
        <f>C35*CpuTarget</f>
        <v/>
      </c>
    </row>
    <row r="36">
      <c r="A36" s="10" t="inlineStr">
        <is>
          <t>db.t3.xlarge</t>
        </is>
      </c>
      <c r="B36" s="46" t="n">
        <v>0.29</v>
      </c>
      <c r="C36" s="10" t="n">
        <v>4</v>
      </c>
      <c r="D36" s="10" t="n">
        <v>16</v>
      </c>
      <c r="E36" s="10" t="inlineStr">
        <is>
          <t>General purpose</t>
        </is>
      </c>
      <c r="F36" s="16">
        <f>MIN(ConnCapMax,D36*1024*1024*1024/ConnDivisor)</f>
        <v/>
      </c>
      <c r="G36" s="15">
        <f>C36*CpuTarget</f>
        <v/>
      </c>
    </row>
    <row r="37">
      <c r="A37" s="10" t="inlineStr">
        <is>
          <t>db.m6idn.large</t>
        </is>
      </c>
      <c r="B37" s="46" t="n">
        <v>0.295</v>
      </c>
      <c r="C37" s="10" t="n">
        <v>2</v>
      </c>
      <c r="D37" s="10" t="n">
        <v>8</v>
      </c>
      <c r="E37" s="10" t="inlineStr">
        <is>
          <t>General purpose</t>
        </is>
      </c>
      <c r="F37" s="16">
        <f>MIN(ConnCapMax,D37*1024*1024*1024/ConnDivisor)</f>
        <v/>
      </c>
      <c r="G37" s="15">
        <f>C37*CpuTarget</f>
        <v/>
      </c>
    </row>
    <row r="38">
      <c r="A38" s="10" t="inlineStr">
        <is>
          <t>db.r5b.large</t>
        </is>
      </c>
      <c r="B38" s="46" t="n">
        <v>0.296</v>
      </c>
      <c r="C38" s="10" t="n">
        <v>2</v>
      </c>
      <c r="D38" s="10" t="n">
        <v>16</v>
      </c>
      <c r="E38" s="10" t="inlineStr">
        <is>
          <t>Memory optimized</t>
        </is>
      </c>
      <c r="F38" s="16">
        <f>MIN(ConnCapMax,D38*1024*1024*1024/ConnDivisor)</f>
        <v/>
      </c>
      <c r="G38" s="15">
        <f>C38*CpuTarget</f>
        <v/>
      </c>
    </row>
    <row r="39">
      <c r="A39" s="10" t="inlineStr">
        <is>
          <t>db.r6id.large</t>
        </is>
      </c>
      <c r="B39" s="46" t="n">
        <v>0.298</v>
      </c>
      <c r="C39" s="10" t="n">
        <v>2</v>
      </c>
      <c r="D39" s="10" t="n">
        <v>16</v>
      </c>
      <c r="E39" s="10" t="inlineStr">
        <is>
          <t>Memory optimized</t>
        </is>
      </c>
      <c r="F39" s="16">
        <f>MIN(ConnCapMax,D39*1024*1024*1024/ConnDivisor)</f>
        <v/>
      </c>
      <c r="G39" s="15">
        <f>C39*CpuTarget</f>
        <v/>
      </c>
    </row>
    <row r="40">
      <c r="A40" s="10" t="inlineStr">
        <is>
          <t>db.r8a.large</t>
        </is>
      </c>
      <c r="B40" s="46" t="n">
        <v>0.3019</v>
      </c>
      <c r="C40" s="10" t="n">
        <v>2</v>
      </c>
      <c r="D40" s="10" t="n">
        <v>16</v>
      </c>
      <c r="E40" s="10" t="inlineStr">
        <is>
          <t>Memory optimized</t>
        </is>
      </c>
      <c r="F40" s="16">
        <f>MIN(ConnCapMax,D40*1024*1024*1024/ConnDivisor)</f>
        <v/>
      </c>
      <c r="G40" s="15">
        <f>C40*CpuTarget</f>
        <v/>
      </c>
    </row>
    <row r="41">
      <c r="A41" s="10" t="inlineStr">
        <is>
          <t>db.m6g.xlarge</t>
        </is>
      </c>
      <c r="B41" s="46" t="n">
        <v>0.318</v>
      </c>
      <c r="C41" s="10" t="n">
        <v>4</v>
      </c>
      <c r="D41" s="10" t="n">
        <v>16</v>
      </c>
      <c r="E41" s="10" t="inlineStr">
        <is>
          <t>General purpose</t>
        </is>
      </c>
      <c r="F41" s="16">
        <f>MIN(ConnCapMax,D41*1024*1024*1024/ConnDivisor)</f>
        <v/>
      </c>
      <c r="G41" s="15">
        <f>C41*CpuTarget</f>
        <v/>
      </c>
    </row>
    <row r="42">
      <c r="A42" s="10" t="inlineStr">
        <is>
          <t>db.x2g.large</t>
        </is>
      </c>
      <c r="B42" s="46" t="n">
        <v>0.326</v>
      </c>
      <c r="C42" s="10" t="n">
        <v>2</v>
      </c>
      <c r="D42" s="10" t="n">
        <v>32</v>
      </c>
      <c r="E42" s="10" t="inlineStr">
        <is>
          <t>Memory optimized</t>
        </is>
      </c>
      <c r="F42" s="16">
        <f>MIN(ConnCapMax,D42*1024*1024*1024/ConnDivisor)</f>
        <v/>
      </c>
      <c r="G42" s="15">
        <f>C42*CpuTarget</f>
        <v/>
      </c>
    </row>
    <row r="43">
      <c r="A43" s="10" t="inlineStr">
        <is>
          <t>db.m8g.xlarge</t>
        </is>
      </c>
      <c r="B43" s="46" t="n">
        <v>0.336</v>
      </c>
      <c r="C43" s="10" t="n">
        <v>4</v>
      </c>
      <c r="D43" s="10" t="n">
        <v>16</v>
      </c>
      <c r="E43" s="10" t="inlineStr">
        <is>
          <t>General purpose</t>
        </is>
      </c>
      <c r="F43" s="16">
        <f>MIN(ConnCapMax,D43*1024*1024*1024/ConnDivisor)</f>
        <v/>
      </c>
      <c r="G43" s="15">
        <f>C43*CpuTarget</f>
        <v/>
      </c>
    </row>
    <row r="44">
      <c r="A44" s="10" t="inlineStr">
        <is>
          <t>db.m7g.xlarge</t>
        </is>
      </c>
      <c r="B44" s="46" t="n">
        <v>0.337</v>
      </c>
      <c r="C44" s="10" t="n">
        <v>4</v>
      </c>
      <c r="D44" s="10" t="n">
        <v>16</v>
      </c>
      <c r="E44" s="10" t="inlineStr">
        <is>
          <t>General purpose</t>
        </is>
      </c>
      <c r="F44" s="16">
        <f>MIN(ConnCapMax,D44*1024*1024*1024/ConnDivisor)</f>
        <v/>
      </c>
      <c r="G44" s="15">
        <f>C44*CpuTarget</f>
        <v/>
      </c>
    </row>
    <row r="45">
      <c r="A45" s="10" t="inlineStr">
        <is>
          <t>db.r6in.large</t>
        </is>
      </c>
      <c r="B45" s="46" t="n">
        <v>0.346</v>
      </c>
      <c r="C45" s="10" t="n">
        <v>2</v>
      </c>
      <c r="D45" s="10" t="n">
        <v>16</v>
      </c>
      <c r="E45" s="10" t="inlineStr">
        <is>
          <t>Memory optimized</t>
        </is>
      </c>
      <c r="F45" s="16">
        <f>MIN(ConnCapMax,D45*1024*1024*1024/ConnDivisor)</f>
        <v/>
      </c>
      <c r="G45" s="15">
        <f>C45*CpuTarget</f>
        <v/>
      </c>
    </row>
    <row r="46">
      <c r="A46" s="10" t="inlineStr">
        <is>
          <t>db.m5.xlarge</t>
        </is>
      </c>
      <c r="B46" s="46" t="n">
        <v>0.356</v>
      </c>
      <c r="C46" s="10" t="n">
        <v>4</v>
      </c>
      <c r="D46" s="10" t="n">
        <v>16</v>
      </c>
      <c r="E46" s="10" t="inlineStr">
        <is>
          <t>General purpose</t>
        </is>
      </c>
      <c r="F46" s="16">
        <f>MIN(ConnCapMax,D46*1024*1024*1024/ConnDivisor)</f>
        <v/>
      </c>
      <c r="G46" s="15">
        <f>C46*CpuTarget</f>
        <v/>
      </c>
    </row>
    <row r="47">
      <c r="A47" s="10" t="inlineStr">
        <is>
          <t>db.m6i.xlarge</t>
        </is>
      </c>
      <c r="B47" s="46" t="n">
        <v>0.356</v>
      </c>
      <c r="C47" s="10" t="n">
        <v>4</v>
      </c>
      <c r="D47" s="10" t="n">
        <v>16</v>
      </c>
      <c r="E47" s="10" t="inlineStr">
        <is>
          <t>General purpose</t>
        </is>
      </c>
      <c r="F47" s="16">
        <f>MIN(ConnCapMax,D47*1024*1024*1024/ConnDivisor)</f>
        <v/>
      </c>
      <c r="G47" s="15">
        <f>C47*CpuTarget</f>
        <v/>
      </c>
    </row>
    <row r="48">
      <c r="A48" s="10" t="inlineStr">
        <is>
          <t>db.m7i.xlarge</t>
        </is>
      </c>
      <c r="B48" s="46" t="n">
        <v>0.356</v>
      </c>
      <c r="C48" s="10" t="n">
        <v>4</v>
      </c>
      <c r="D48" s="10" t="n">
        <v>16</v>
      </c>
      <c r="E48" s="10" t="inlineStr">
        <is>
          <t>General purpose</t>
        </is>
      </c>
      <c r="F48" s="16">
        <f>MIN(ConnCapMax,D48*1024*1024*1024/ConnDivisor)</f>
        <v/>
      </c>
      <c r="G48" s="15">
        <f>C48*CpuTarget</f>
        <v/>
      </c>
    </row>
    <row r="49">
      <c r="A49" s="10" t="inlineStr">
        <is>
          <t>db.m9g.xlarge</t>
        </is>
      </c>
      <c r="B49" s="46" t="n">
        <v>0.366</v>
      </c>
      <c r="C49" s="10" t="n">
        <v>4</v>
      </c>
      <c r="D49" s="10" t="n">
        <v>16</v>
      </c>
      <c r="E49" s="10" t="inlineStr">
        <is>
          <t>General purpose</t>
        </is>
      </c>
      <c r="F49" s="16">
        <f>MIN(ConnCapMax,D49*1024*1024*1024/ConnDivisor)</f>
        <v/>
      </c>
      <c r="G49" s="15">
        <f>C49*CpuTarget</f>
        <v/>
      </c>
    </row>
    <row r="50">
      <c r="A50" s="10" t="inlineStr">
        <is>
          <t>db.m6gd.xlarge</t>
        </is>
      </c>
      <c r="B50" s="46" t="n">
        <v>0.373</v>
      </c>
      <c r="C50" s="10" t="n">
        <v>4</v>
      </c>
      <c r="D50" s="10" t="n">
        <v>16</v>
      </c>
      <c r="E50" s="10" t="inlineStr">
        <is>
          <t>General purpose</t>
        </is>
      </c>
      <c r="F50" s="16">
        <f>MIN(ConnCapMax,D50*1024*1024*1024/ConnDivisor)</f>
        <v/>
      </c>
      <c r="G50" s="15">
        <f>C50*CpuTarget</f>
        <v/>
      </c>
    </row>
    <row r="51">
      <c r="A51" s="10" t="inlineStr">
        <is>
          <t>db.r6idn.large</t>
        </is>
      </c>
      <c r="B51" s="46" t="n">
        <v>0.388</v>
      </c>
      <c r="C51" s="10" t="n">
        <v>2</v>
      </c>
      <c r="D51" s="10" t="n">
        <v>16</v>
      </c>
      <c r="E51" s="10" t="inlineStr">
        <is>
          <t>Memory optimized</t>
        </is>
      </c>
      <c r="F51" s="16">
        <f>MIN(ConnCapMax,D51*1024*1024*1024/ConnDivisor)</f>
        <v/>
      </c>
      <c r="G51" s="15">
        <f>C51*CpuTarget</f>
        <v/>
      </c>
    </row>
    <row r="52">
      <c r="A52" s="10" t="inlineStr">
        <is>
          <t>db.m8gd.xlarge</t>
        </is>
      </c>
      <c r="B52" s="46" t="n">
        <v>0.3952</v>
      </c>
      <c r="C52" s="10" t="n">
        <v>4</v>
      </c>
      <c r="D52" s="10" t="n">
        <v>16</v>
      </c>
      <c r="E52" s="10" t="inlineStr">
        <is>
          <t>Memory optimized</t>
        </is>
      </c>
      <c r="F52" s="16">
        <f>MIN(ConnCapMax,D52*1024*1024*1024/ConnDivisor)</f>
        <v/>
      </c>
      <c r="G52" s="15">
        <f>C52*CpuTarget</f>
        <v/>
      </c>
    </row>
    <row r="53">
      <c r="A53" s="10" t="inlineStr">
        <is>
          <t>db.m5d.xlarge</t>
        </is>
      </c>
      <c r="B53" s="46" t="n">
        <v>0.419</v>
      </c>
      <c r="C53" s="10" t="n">
        <v>4</v>
      </c>
      <c r="D53" s="10" t="n">
        <v>16</v>
      </c>
      <c r="E53" s="10" t="inlineStr">
        <is>
          <t>General purpose</t>
        </is>
      </c>
      <c r="F53" s="16">
        <f>MIN(ConnCapMax,D53*1024*1024*1024/ConnDivisor)</f>
        <v/>
      </c>
      <c r="G53" s="15">
        <f>C53*CpuTarget</f>
        <v/>
      </c>
    </row>
    <row r="54">
      <c r="A54" s="10" t="inlineStr">
        <is>
          <t>db.m8a.xlarge</t>
        </is>
      </c>
      <c r="B54" s="46" t="n">
        <v>0.4298</v>
      </c>
      <c r="C54" s="10" t="n">
        <v>4</v>
      </c>
      <c r="D54" s="10" t="n">
        <v>16</v>
      </c>
      <c r="E54" s="10" t="inlineStr">
        <is>
          <t>General purpose</t>
        </is>
      </c>
      <c r="F54" s="16">
        <f>MIN(ConnCapMax,D54*1024*1024*1024/ConnDivisor)</f>
        <v/>
      </c>
      <c r="G54" s="15">
        <f>C54*CpuTarget</f>
        <v/>
      </c>
    </row>
    <row r="55">
      <c r="A55" s="10" t="inlineStr">
        <is>
          <t>db.m6id.xlarge</t>
        </is>
      </c>
      <c r="B55" s="46" t="n">
        <v>0.448</v>
      </c>
      <c r="C55" s="10" t="n">
        <v>4</v>
      </c>
      <c r="D55" s="10" t="n">
        <v>16</v>
      </c>
      <c r="E55" s="10" t="inlineStr">
        <is>
          <t>General purpose</t>
        </is>
      </c>
      <c r="F55" s="16">
        <f>MIN(ConnCapMax,D55*1024*1024*1024/ConnDivisor)</f>
        <v/>
      </c>
      <c r="G55" s="15">
        <f>C55*CpuTarget</f>
        <v/>
      </c>
    </row>
    <row r="56">
      <c r="A56" s="10" t="inlineStr">
        <is>
          <t>db.r6g.xlarge</t>
        </is>
      </c>
      <c r="B56" s="46" t="n">
        <v>0.45</v>
      </c>
      <c r="C56" s="10" t="n">
        <v>4</v>
      </c>
      <c r="D56" s="10" t="n">
        <v>32</v>
      </c>
      <c r="E56" s="10" t="inlineStr">
        <is>
          <t>Memory optimized</t>
        </is>
      </c>
      <c r="F56" s="16">
        <f>MIN(ConnCapMax,D56*1024*1024*1024/ConnDivisor)</f>
        <v/>
      </c>
      <c r="G56" s="15">
        <f>C56*CpuTarget</f>
        <v/>
      </c>
    </row>
    <row r="57">
      <c r="A57" s="10" t="inlineStr">
        <is>
          <t>db.r7g.xlarge</t>
        </is>
      </c>
      <c r="B57" s="46" t="n">
        <v>0.478</v>
      </c>
      <c r="C57" s="10" t="n">
        <v>4</v>
      </c>
      <c r="D57" s="10" t="n">
        <v>32</v>
      </c>
      <c r="E57" s="10" t="inlineStr">
        <is>
          <t>Memory optimized</t>
        </is>
      </c>
      <c r="F57" s="16">
        <f>MIN(ConnCapMax,D57*1024*1024*1024/ConnDivisor)</f>
        <v/>
      </c>
      <c r="G57" s="15">
        <f>C57*CpuTarget</f>
        <v/>
      </c>
    </row>
    <row r="58">
      <c r="A58" s="10" t="inlineStr">
        <is>
          <t>db.r8g.xlarge</t>
        </is>
      </c>
      <c r="B58" s="46" t="n">
        <v>0.478</v>
      </c>
      <c r="C58" s="10" t="n">
        <v>4</v>
      </c>
      <c r="D58" s="10" t="n">
        <v>32</v>
      </c>
      <c r="E58" s="10" t="inlineStr">
        <is>
          <t>Memory optimized</t>
        </is>
      </c>
      <c r="F58" s="16">
        <f>MIN(ConnCapMax,D58*1024*1024*1024/ConnDivisor)</f>
        <v/>
      </c>
      <c r="G58" s="15">
        <f>C58*CpuTarget</f>
        <v/>
      </c>
    </row>
    <row r="59">
      <c r="A59" s="10" t="inlineStr">
        <is>
          <t>db.r5.xlarge</t>
        </is>
      </c>
      <c r="B59" s="46" t="n">
        <v>0.5</v>
      </c>
      <c r="C59" s="10" t="n">
        <v>4</v>
      </c>
      <c r="D59" s="10" t="n">
        <v>32</v>
      </c>
      <c r="E59" s="10" t="inlineStr">
        <is>
          <t>Memory optimized</t>
        </is>
      </c>
      <c r="F59" s="16">
        <f>MIN(ConnCapMax,D59*1024*1024*1024/ConnDivisor)</f>
        <v/>
      </c>
      <c r="G59" s="15">
        <f>C59*CpuTarget</f>
        <v/>
      </c>
    </row>
    <row r="60">
      <c r="A60" s="10" t="inlineStr">
        <is>
          <t>db.r6i.xlarge</t>
        </is>
      </c>
      <c r="B60" s="46" t="n">
        <v>0.5</v>
      </c>
      <c r="C60" s="10" t="n">
        <v>4</v>
      </c>
      <c r="D60" s="10" t="n">
        <v>32</v>
      </c>
      <c r="E60" s="10" t="inlineStr">
        <is>
          <t>Memory optimized</t>
        </is>
      </c>
      <c r="F60" s="16">
        <f>MIN(ConnCapMax,D60*1024*1024*1024/ConnDivisor)</f>
        <v/>
      </c>
      <c r="G60" s="15">
        <f>C60*CpuTarget</f>
        <v/>
      </c>
    </row>
    <row r="61">
      <c r="A61" s="10" t="inlineStr">
        <is>
          <t>db.r7i.xlarge</t>
        </is>
      </c>
      <c r="B61" s="46" t="n">
        <v>0.5</v>
      </c>
      <c r="C61" s="10" t="n">
        <v>4</v>
      </c>
      <c r="D61" s="10" t="n">
        <v>32</v>
      </c>
      <c r="E61" s="10" t="inlineStr">
        <is>
          <t>Memory optimized</t>
        </is>
      </c>
      <c r="F61" s="16">
        <f>MIN(ConnCapMax,D61*1024*1024*1024/ConnDivisor)</f>
        <v/>
      </c>
      <c r="G61" s="15">
        <f>C61*CpuTarget</f>
        <v/>
      </c>
    </row>
    <row r="62">
      <c r="A62" s="10" t="inlineStr">
        <is>
          <t>db.r6gd.xlarge</t>
        </is>
      </c>
      <c r="B62" s="46" t="n">
        <v>0.514</v>
      </c>
      <c r="C62" s="10" t="n">
        <v>4</v>
      </c>
      <c r="D62" s="10" t="n">
        <v>32</v>
      </c>
      <c r="E62" s="10" t="inlineStr">
        <is>
          <t>Memory optimized</t>
        </is>
      </c>
      <c r="F62" s="16">
        <f>MIN(ConnCapMax,D62*1024*1024*1024/ConnDivisor)</f>
        <v/>
      </c>
      <c r="G62" s="15">
        <f>C62*CpuTarget</f>
        <v/>
      </c>
    </row>
    <row r="63">
      <c r="A63" s="10" t="inlineStr">
        <is>
          <t>db.m6in.xlarge</t>
        </is>
      </c>
      <c r="B63" s="46" t="n">
        <v>0.516</v>
      </c>
      <c r="C63" s="10" t="n">
        <v>4</v>
      </c>
      <c r="D63" s="10" t="n">
        <v>16</v>
      </c>
      <c r="E63" s="10" t="inlineStr">
        <is>
          <t>General purpose</t>
        </is>
      </c>
      <c r="F63" s="16">
        <f>MIN(ConnCapMax,D63*1024*1024*1024/ConnDivisor)</f>
        <v/>
      </c>
      <c r="G63" s="15">
        <f>C63*CpuTarget</f>
        <v/>
      </c>
    </row>
    <row r="64">
      <c r="A64" s="10" t="inlineStr">
        <is>
          <t>db.t4g.2xlarge</t>
        </is>
      </c>
      <c r="B64" s="46" t="n">
        <v>0.517</v>
      </c>
      <c r="C64" s="10" t="n">
        <v>8</v>
      </c>
      <c r="D64" s="10" t="n">
        <v>32</v>
      </c>
      <c r="E64" s="10" t="inlineStr">
        <is>
          <t>General purpose</t>
        </is>
      </c>
      <c r="F64" s="16">
        <f>MIN(ConnCapMax,D64*1024*1024*1024/ConnDivisor)</f>
        <v/>
      </c>
      <c r="G64" s="15">
        <f>C64*CpuTarget</f>
        <v/>
      </c>
    </row>
    <row r="65">
      <c r="A65" s="10" t="inlineStr">
        <is>
          <t>db.r8gd.xlarge</t>
        </is>
      </c>
      <c r="B65" s="46" t="n">
        <v>0.546</v>
      </c>
      <c r="C65" s="10" t="n">
        <v>4</v>
      </c>
      <c r="D65" s="10" t="n">
        <v>32</v>
      </c>
      <c r="E65" s="10" t="inlineStr">
        <is>
          <t>Memory optimized</t>
        </is>
      </c>
      <c r="F65" s="16">
        <f>MIN(ConnCapMax,D65*1024*1024*1024/ConnDivisor)</f>
        <v/>
      </c>
      <c r="G65" s="15">
        <f>C65*CpuTarget</f>
        <v/>
      </c>
    </row>
    <row r="66">
      <c r="A66" s="10" t="inlineStr">
        <is>
          <t>db.r5d.xlarge</t>
        </is>
      </c>
      <c r="B66" s="46" t="n">
        <v>0.571</v>
      </c>
      <c r="C66" s="10" t="n">
        <v>4</v>
      </c>
      <c r="D66" s="10" t="n">
        <v>32</v>
      </c>
      <c r="E66" s="10" t="inlineStr">
        <is>
          <t>Memory optimized</t>
        </is>
      </c>
      <c r="F66" s="16">
        <f>MIN(ConnCapMax,D66*1024*1024*1024/ConnDivisor)</f>
        <v/>
      </c>
      <c r="G66" s="15">
        <f>C66*CpuTarget</f>
        <v/>
      </c>
    </row>
    <row r="67">
      <c r="A67" s="10" t="inlineStr">
        <is>
          <t>db.t3.2xlarge</t>
        </is>
      </c>
      <c r="B67" s="46" t="n">
        <v>0.579</v>
      </c>
      <c r="C67" s="10" t="n">
        <v>8</v>
      </c>
      <c r="D67" s="10" t="n">
        <v>32</v>
      </c>
      <c r="E67" s="10" t="inlineStr">
        <is>
          <t>General purpose</t>
        </is>
      </c>
      <c r="F67" s="16">
        <f>MIN(ConnCapMax,D67*1024*1024*1024/ConnDivisor)</f>
        <v/>
      </c>
      <c r="G67" s="15">
        <f>C67*CpuTarget</f>
        <v/>
      </c>
    </row>
    <row r="68">
      <c r="A68" s="10" t="inlineStr">
        <is>
          <t>db.m6idn.xlarge</t>
        </is>
      </c>
      <c r="B68" s="46" t="n">
        <v>0.59</v>
      </c>
      <c r="C68" s="10" t="n">
        <v>4</v>
      </c>
      <c r="D68" s="10" t="n">
        <v>16</v>
      </c>
      <c r="E68" s="10" t="inlineStr">
        <is>
          <t>General purpose</t>
        </is>
      </c>
      <c r="F68" s="16">
        <f>MIN(ConnCapMax,D68*1024*1024*1024/ConnDivisor)</f>
        <v/>
      </c>
      <c r="G68" s="15">
        <f>C68*CpuTarget</f>
        <v/>
      </c>
    </row>
    <row r="69">
      <c r="A69" s="10" t="inlineStr">
        <is>
          <t>db.r5b.xlarge</t>
        </is>
      </c>
      <c r="B69" s="46" t="n">
        <v>0.592</v>
      </c>
      <c r="C69" s="10" t="n">
        <v>4</v>
      </c>
      <c r="D69" s="10" t="n">
        <v>32</v>
      </c>
      <c r="E69" s="10" t="inlineStr">
        <is>
          <t>Memory optimized</t>
        </is>
      </c>
      <c r="F69" s="16">
        <f>MIN(ConnCapMax,D69*1024*1024*1024/ConnDivisor)</f>
        <v/>
      </c>
      <c r="G69" s="15">
        <f>C69*CpuTarget</f>
        <v/>
      </c>
    </row>
    <row r="70">
      <c r="A70" s="10" t="inlineStr">
        <is>
          <t>db.r6id.xlarge</t>
        </is>
      </c>
      <c r="B70" s="46" t="n">
        <v>0.596</v>
      </c>
      <c r="C70" s="10" t="n">
        <v>4</v>
      </c>
      <c r="D70" s="10" t="n">
        <v>32</v>
      </c>
      <c r="E70" s="10" t="inlineStr">
        <is>
          <t>Memory optimized</t>
        </is>
      </c>
      <c r="F70" s="16">
        <f>MIN(ConnCapMax,D70*1024*1024*1024/ConnDivisor)</f>
        <v/>
      </c>
      <c r="G70" s="15">
        <f>C70*CpuTarget</f>
        <v/>
      </c>
    </row>
    <row r="71">
      <c r="A71" s="10" t="inlineStr">
        <is>
          <t>db.r8a.xlarge</t>
        </is>
      </c>
      <c r="B71" s="46" t="n">
        <v>0.6038</v>
      </c>
      <c r="C71" s="10" t="n">
        <v>4</v>
      </c>
      <c r="D71" s="10" t="n">
        <v>32</v>
      </c>
      <c r="E71" s="10" t="inlineStr">
        <is>
          <t>Memory optimized</t>
        </is>
      </c>
      <c r="F71" s="16">
        <f>MIN(ConnCapMax,D71*1024*1024*1024/ConnDivisor)</f>
        <v/>
      </c>
      <c r="G71" s="15">
        <f>C71*CpuTarget</f>
        <v/>
      </c>
    </row>
    <row r="72">
      <c r="A72" s="10" t="inlineStr">
        <is>
          <t>db.m6g.2xlarge</t>
        </is>
      </c>
      <c r="B72" s="46" t="n">
        <v>0.636</v>
      </c>
      <c r="C72" s="10" t="n">
        <v>8</v>
      </c>
      <c r="D72" s="10" t="n">
        <v>32</v>
      </c>
      <c r="E72" s="10" t="inlineStr">
        <is>
          <t>General purpose</t>
        </is>
      </c>
      <c r="F72" s="16">
        <f>MIN(ConnCapMax,D72*1024*1024*1024/ConnDivisor)</f>
        <v/>
      </c>
      <c r="G72" s="15">
        <f>C72*CpuTarget</f>
        <v/>
      </c>
    </row>
    <row r="73">
      <c r="A73" s="10" t="inlineStr">
        <is>
          <t>db.x2g.xlarge</t>
        </is>
      </c>
      <c r="B73" s="46" t="n">
        <v>0.652</v>
      </c>
      <c r="C73" s="10" t="n">
        <v>4</v>
      </c>
      <c r="D73" s="10" t="n">
        <v>64</v>
      </c>
      <c r="E73" s="10" t="inlineStr">
        <is>
          <t>Memory optimized</t>
        </is>
      </c>
      <c r="F73" s="16">
        <f>MIN(ConnCapMax,D73*1024*1024*1024/ConnDivisor)</f>
        <v/>
      </c>
      <c r="G73" s="15">
        <f>C73*CpuTarget</f>
        <v/>
      </c>
    </row>
    <row r="74">
      <c r="A74" s="10" t="inlineStr">
        <is>
          <t>db.m8g.2xlarge</t>
        </is>
      </c>
      <c r="B74" s="46" t="n">
        <v>0.672</v>
      </c>
      <c r="C74" s="10" t="n">
        <v>8</v>
      </c>
      <c r="D74" s="10" t="n">
        <v>32</v>
      </c>
      <c r="E74" s="10" t="inlineStr">
        <is>
          <t>General purpose</t>
        </is>
      </c>
      <c r="F74" s="16">
        <f>MIN(ConnCapMax,D74*1024*1024*1024/ConnDivisor)</f>
        <v/>
      </c>
      <c r="G74" s="15">
        <f>C74*CpuTarget</f>
        <v/>
      </c>
    </row>
    <row r="75">
      <c r="A75" s="10" t="inlineStr">
        <is>
          <t>db.m7g.2xlarge</t>
        </is>
      </c>
      <c r="B75" s="46" t="n">
        <v>0.674</v>
      </c>
      <c r="C75" s="10" t="n">
        <v>8</v>
      </c>
      <c r="D75" s="10" t="n">
        <v>32</v>
      </c>
      <c r="E75" s="10" t="inlineStr">
        <is>
          <t>General purpose</t>
        </is>
      </c>
      <c r="F75" s="16">
        <f>MIN(ConnCapMax,D75*1024*1024*1024/ConnDivisor)</f>
        <v/>
      </c>
      <c r="G75" s="15">
        <f>C75*CpuTarget</f>
        <v/>
      </c>
    </row>
    <row r="76">
      <c r="A76" s="10" t="inlineStr">
        <is>
          <t>db.r6in.xlarge</t>
        </is>
      </c>
      <c r="B76" s="46" t="n">
        <v>0.6919999999999999</v>
      </c>
      <c r="C76" s="10" t="n">
        <v>4</v>
      </c>
      <c r="D76" s="10" t="n">
        <v>32</v>
      </c>
      <c r="E76" s="10" t="inlineStr">
        <is>
          <t>Memory optimized</t>
        </is>
      </c>
      <c r="F76" s="16">
        <f>MIN(ConnCapMax,D76*1024*1024*1024/ConnDivisor)</f>
        <v/>
      </c>
      <c r="G76" s="15">
        <f>C76*CpuTarget</f>
        <v/>
      </c>
    </row>
    <row r="77">
      <c r="A77" s="10" t="inlineStr">
        <is>
          <t>db.m5.2xlarge</t>
        </is>
      </c>
      <c r="B77" s="46" t="n">
        <v>0.712</v>
      </c>
      <c r="C77" s="10" t="n">
        <v>8</v>
      </c>
      <c r="D77" s="10" t="n">
        <v>32</v>
      </c>
      <c r="E77" s="10" t="inlineStr">
        <is>
          <t>General purpose</t>
        </is>
      </c>
      <c r="F77" s="16">
        <f>MIN(ConnCapMax,D77*1024*1024*1024/ConnDivisor)</f>
        <v/>
      </c>
      <c r="G77" s="15">
        <f>C77*CpuTarget</f>
        <v/>
      </c>
    </row>
    <row r="78">
      <c r="A78" s="10" t="inlineStr">
        <is>
          <t>db.m6i.2xlarge</t>
        </is>
      </c>
      <c r="B78" s="46" t="n">
        <v>0.712</v>
      </c>
      <c r="C78" s="10" t="n">
        <v>8</v>
      </c>
      <c r="D78" s="10" t="n">
        <v>32</v>
      </c>
      <c r="E78" s="10" t="inlineStr">
        <is>
          <t>General purpose</t>
        </is>
      </c>
      <c r="F78" s="16">
        <f>MIN(ConnCapMax,D78*1024*1024*1024/ConnDivisor)</f>
        <v/>
      </c>
      <c r="G78" s="15">
        <f>C78*CpuTarget</f>
        <v/>
      </c>
    </row>
    <row r="79">
      <c r="A79" s="10" t="inlineStr">
        <is>
          <t>db.m7i.2xlarge</t>
        </is>
      </c>
      <c r="B79" s="46" t="n">
        <v>0.712</v>
      </c>
      <c r="C79" s="10" t="n">
        <v>8</v>
      </c>
      <c r="D79" s="10" t="n">
        <v>32</v>
      </c>
      <c r="E79" s="10" t="inlineStr">
        <is>
          <t>General purpose</t>
        </is>
      </c>
      <c r="F79" s="16">
        <f>MIN(ConnCapMax,D79*1024*1024*1024/ConnDivisor)</f>
        <v/>
      </c>
      <c r="G79" s="15">
        <f>C79*CpuTarget</f>
        <v/>
      </c>
    </row>
    <row r="80">
      <c r="A80" s="10" t="inlineStr">
        <is>
          <t>db.m9g.2xlarge</t>
        </is>
      </c>
      <c r="B80" s="46" t="n">
        <v>0.732</v>
      </c>
      <c r="C80" s="10" t="n">
        <v>8</v>
      </c>
      <c r="D80" s="10" t="n">
        <v>32</v>
      </c>
      <c r="E80" s="10" t="inlineStr">
        <is>
          <t>General purpose</t>
        </is>
      </c>
      <c r="F80" s="16">
        <f>MIN(ConnCapMax,D80*1024*1024*1024/ConnDivisor)</f>
        <v/>
      </c>
      <c r="G80" s="15">
        <f>C80*CpuTarget</f>
        <v/>
      </c>
    </row>
    <row r="81">
      <c r="A81" s="10" t="inlineStr">
        <is>
          <t>db.m6gd.2xlarge</t>
        </is>
      </c>
      <c r="B81" s="46" t="n">
        <v>0.747</v>
      </c>
      <c r="C81" s="10" t="n">
        <v>8</v>
      </c>
      <c r="D81" s="10" t="n">
        <v>32</v>
      </c>
      <c r="E81" s="10" t="inlineStr">
        <is>
          <t>General purpose</t>
        </is>
      </c>
      <c r="F81" s="16">
        <f>MIN(ConnCapMax,D81*1024*1024*1024/ConnDivisor)</f>
        <v/>
      </c>
      <c r="G81" s="15">
        <f>C81*CpuTarget</f>
        <v/>
      </c>
    </row>
    <row r="82">
      <c r="A82" s="10" t="inlineStr">
        <is>
          <t>db.r6idn.xlarge</t>
        </is>
      </c>
      <c r="B82" s="46" t="n">
        <v>0.775</v>
      </c>
      <c r="C82" s="10" t="n">
        <v>4</v>
      </c>
      <c r="D82" s="10" t="n">
        <v>32</v>
      </c>
      <c r="E82" s="10" t="inlineStr">
        <is>
          <t>Memory optimized</t>
        </is>
      </c>
      <c r="F82" s="16">
        <f>MIN(ConnCapMax,D82*1024*1024*1024/ConnDivisor)</f>
        <v/>
      </c>
      <c r="G82" s="15">
        <f>C82*CpuTarget</f>
        <v/>
      </c>
    </row>
    <row r="83">
      <c r="A83" s="10" t="inlineStr">
        <is>
          <t>db.m8gd.2xlarge</t>
        </is>
      </c>
      <c r="B83" s="46" t="n">
        <v>0.7904</v>
      </c>
      <c r="C83" s="10" t="n">
        <v>8</v>
      </c>
      <c r="D83" s="10" t="n">
        <v>32</v>
      </c>
      <c r="E83" s="10" t="inlineStr">
        <is>
          <t>Memory optimized</t>
        </is>
      </c>
      <c r="F83" s="16">
        <f>MIN(ConnCapMax,D83*1024*1024*1024/ConnDivisor)</f>
        <v/>
      </c>
      <c r="G83" s="15">
        <f>C83*CpuTarget</f>
        <v/>
      </c>
    </row>
    <row r="84">
      <c r="A84" s="10" t="inlineStr">
        <is>
          <t>db.m5d.2xlarge</t>
        </is>
      </c>
      <c r="B84" s="46" t="n">
        <v>0.838</v>
      </c>
      <c r="C84" s="10" t="n">
        <v>8</v>
      </c>
      <c r="D84" s="10" t="n">
        <v>32</v>
      </c>
      <c r="E84" s="10" t="inlineStr">
        <is>
          <t>General purpose</t>
        </is>
      </c>
      <c r="F84" s="16">
        <f>MIN(ConnCapMax,D84*1024*1024*1024/ConnDivisor)</f>
        <v/>
      </c>
      <c r="G84" s="15">
        <f>C84*CpuTarget</f>
        <v/>
      </c>
    </row>
    <row r="85">
      <c r="A85" s="10" t="inlineStr">
        <is>
          <t>db.m8a.2xlarge</t>
        </is>
      </c>
      <c r="B85" s="46" t="n">
        <v>0.8596</v>
      </c>
      <c r="C85" s="10" t="n">
        <v>8</v>
      </c>
      <c r="D85" s="10" t="n">
        <v>32</v>
      </c>
      <c r="E85" s="10" t="inlineStr">
        <is>
          <t>General purpose</t>
        </is>
      </c>
      <c r="F85" s="16">
        <f>MIN(ConnCapMax,D85*1024*1024*1024/ConnDivisor)</f>
        <v/>
      </c>
      <c r="G85" s="15">
        <f>C85*CpuTarget</f>
        <v/>
      </c>
    </row>
    <row r="86">
      <c r="A86" s="10" t="inlineStr">
        <is>
          <t>db.m6id.2xlarge</t>
        </is>
      </c>
      <c r="B86" s="46" t="n">
        <v>0.897</v>
      </c>
      <c r="C86" s="10" t="n">
        <v>8</v>
      </c>
      <c r="D86" s="10" t="n">
        <v>32</v>
      </c>
      <c r="E86" s="10" t="inlineStr">
        <is>
          <t>General purpose</t>
        </is>
      </c>
      <c r="F86" s="16">
        <f>MIN(ConnCapMax,D86*1024*1024*1024/ConnDivisor)</f>
        <v/>
      </c>
      <c r="G86" s="15">
        <f>C86*CpuTarget</f>
        <v/>
      </c>
    </row>
    <row r="87">
      <c r="A87" s="10" t="inlineStr">
        <is>
          <t>db.r6g.2xlarge</t>
        </is>
      </c>
      <c r="B87" s="46" t="n">
        <v>0.899</v>
      </c>
      <c r="C87" s="10" t="n">
        <v>8</v>
      </c>
      <c r="D87" s="10" t="n">
        <v>64</v>
      </c>
      <c r="E87" s="10" t="inlineStr">
        <is>
          <t>Memory optimized</t>
        </is>
      </c>
      <c r="F87" s="16">
        <f>MIN(ConnCapMax,D87*1024*1024*1024/ConnDivisor)</f>
        <v/>
      </c>
      <c r="G87" s="15">
        <f>C87*CpuTarget</f>
        <v/>
      </c>
    </row>
    <row r="88">
      <c r="A88" s="10" t="inlineStr">
        <is>
          <t>db.r7g.2xlarge</t>
        </is>
      </c>
      <c r="B88" s="46" t="n">
        <v>0.956</v>
      </c>
      <c r="C88" s="10" t="n">
        <v>8</v>
      </c>
      <c r="D88" s="10" t="n">
        <v>64</v>
      </c>
      <c r="E88" s="10" t="inlineStr">
        <is>
          <t>Memory optimized</t>
        </is>
      </c>
      <c r="F88" s="16">
        <f>MIN(ConnCapMax,D88*1024*1024*1024/ConnDivisor)</f>
        <v/>
      </c>
      <c r="G88" s="15">
        <f>C88*CpuTarget</f>
        <v/>
      </c>
    </row>
    <row r="89">
      <c r="A89" s="10" t="inlineStr">
        <is>
          <t>db.r8g.2xlarge</t>
        </is>
      </c>
      <c r="B89" s="46" t="n">
        <v>0.956</v>
      </c>
      <c r="C89" s="10" t="n">
        <v>8</v>
      </c>
      <c r="D89" s="10" t="n">
        <v>64</v>
      </c>
      <c r="E89" s="10" t="inlineStr">
        <is>
          <t>Memory optimized</t>
        </is>
      </c>
      <c r="F89" s="16">
        <f>MIN(ConnCapMax,D89*1024*1024*1024/ConnDivisor)</f>
        <v/>
      </c>
      <c r="G89" s="15">
        <f>C89*CpuTarget</f>
        <v/>
      </c>
    </row>
    <row r="90">
      <c r="A90" s="10" t="inlineStr">
        <is>
          <t>db.r5.2xlarge</t>
        </is>
      </c>
      <c r="B90" s="46" t="n">
        <v>1</v>
      </c>
      <c r="C90" s="10" t="n">
        <v>8</v>
      </c>
      <c r="D90" s="10" t="n">
        <v>64</v>
      </c>
      <c r="E90" s="10" t="inlineStr">
        <is>
          <t>Memory optimized</t>
        </is>
      </c>
      <c r="F90" s="16">
        <f>MIN(ConnCapMax,D90*1024*1024*1024/ConnDivisor)</f>
        <v/>
      </c>
      <c r="G90" s="15">
        <f>C90*CpuTarget</f>
        <v/>
      </c>
    </row>
    <row r="91">
      <c r="A91" s="10" t="inlineStr">
        <is>
          <t>db.r6i.2xlarge</t>
        </is>
      </c>
      <c r="B91" s="46" t="n">
        <v>1</v>
      </c>
      <c r="C91" s="10" t="n">
        <v>8</v>
      </c>
      <c r="D91" s="10" t="n">
        <v>64</v>
      </c>
      <c r="E91" s="10" t="inlineStr">
        <is>
          <t>Memory optimized</t>
        </is>
      </c>
      <c r="F91" s="16">
        <f>MIN(ConnCapMax,D91*1024*1024*1024/ConnDivisor)</f>
        <v/>
      </c>
      <c r="G91" s="15">
        <f>C91*CpuTarget</f>
        <v/>
      </c>
    </row>
    <row r="92">
      <c r="A92" s="10" t="inlineStr">
        <is>
          <t>db.r7i.2xlarge</t>
        </is>
      </c>
      <c r="B92" s="46" t="n">
        <v>1</v>
      </c>
      <c r="C92" s="10" t="n">
        <v>8</v>
      </c>
      <c r="D92" s="10" t="n">
        <v>64</v>
      </c>
      <c r="E92" s="10" t="inlineStr">
        <is>
          <t>Memory optimized</t>
        </is>
      </c>
      <c r="F92" s="16">
        <f>MIN(ConnCapMax,D92*1024*1024*1024/ConnDivisor)</f>
        <v/>
      </c>
      <c r="G92" s="15">
        <f>C92*CpuTarget</f>
        <v/>
      </c>
    </row>
    <row r="93">
      <c r="A93" s="10" t="inlineStr">
        <is>
          <t>db.r6gd.2xlarge</t>
        </is>
      </c>
      <c r="B93" s="46" t="n">
        <v>1.029</v>
      </c>
      <c r="C93" s="10" t="n">
        <v>8</v>
      </c>
      <c r="D93" s="10" t="n">
        <v>64</v>
      </c>
      <c r="E93" s="10" t="inlineStr">
        <is>
          <t>Memory optimized</t>
        </is>
      </c>
      <c r="F93" s="16">
        <f>MIN(ConnCapMax,D93*1024*1024*1024/ConnDivisor)</f>
        <v/>
      </c>
      <c r="G93" s="15">
        <f>C93*CpuTarget</f>
        <v/>
      </c>
    </row>
    <row r="94">
      <c r="A94" s="10" t="inlineStr">
        <is>
          <t>db.m6in.2xlarge</t>
        </is>
      </c>
      <c r="B94" s="46" t="n">
        <v>1.033</v>
      </c>
      <c r="C94" s="10" t="n">
        <v>8</v>
      </c>
      <c r="D94" s="10" t="n">
        <v>32</v>
      </c>
      <c r="E94" s="10" t="inlineStr">
        <is>
          <t>General purpose</t>
        </is>
      </c>
      <c r="F94" s="16">
        <f>MIN(ConnCapMax,D94*1024*1024*1024/ConnDivisor)</f>
        <v/>
      </c>
      <c r="G94" s="15">
        <f>C94*CpuTarget</f>
        <v/>
      </c>
    </row>
    <row r="95">
      <c r="A95" s="10" t="inlineStr">
        <is>
          <t>db.r8gd.2xlarge</t>
        </is>
      </c>
      <c r="B95" s="46" t="n">
        <v>1.092</v>
      </c>
      <c r="C95" s="10" t="n">
        <v>8</v>
      </c>
      <c r="D95" s="10" t="n">
        <v>64</v>
      </c>
      <c r="E95" s="10" t="inlineStr">
        <is>
          <t>Memory optimized</t>
        </is>
      </c>
      <c r="F95" s="16">
        <f>MIN(ConnCapMax,D95*1024*1024*1024/ConnDivisor)</f>
        <v/>
      </c>
      <c r="G95" s="15">
        <f>C95*CpuTarget</f>
        <v/>
      </c>
    </row>
    <row r="96">
      <c r="A96" s="10" t="inlineStr">
        <is>
          <t>db.r5d.2xlarge</t>
        </is>
      </c>
      <c r="B96" s="46" t="n">
        <v>1.143</v>
      </c>
      <c r="C96" s="10" t="n">
        <v>8</v>
      </c>
      <c r="D96" s="10" t="n">
        <v>64</v>
      </c>
      <c r="E96" s="10" t="inlineStr">
        <is>
          <t>Memory optimized</t>
        </is>
      </c>
      <c r="F96" s="16">
        <f>MIN(ConnCapMax,D96*1024*1024*1024/ConnDivisor)</f>
        <v/>
      </c>
      <c r="G96" s="15">
        <f>C96*CpuTarget</f>
        <v/>
      </c>
    </row>
    <row r="97">
      <c r="A97" s="10" t="inlineStr">
        <is>
          <t>db.m6idn.2xlarge</t>
        </is>
      </c>
      <c r="B97" s="46" t="n">
        <v>1.18</v>
      </c>
      <c r="C97" s="10" t="n">
        <v>8</v>
      </c>
      <c r="D97" s="10" t="n">
        <v>32</v>
      </c>
      <c r="E97" s="10" t="inlineStr">
        <is>
          <t>General purpose</t>
        </is>
      </c>
      <c r="F97" s="16">
        <f>MIN(ConnCapMax,D97*1024*1024*1024/ConnDivisor)</f>
        <v/>
      </c>
      <c r="G97" s="15">
        <f>C97*CpuTarget</f>
        <v/>
      </c>
    </row>
    <row r="98">
      <c r="A98" s="10" t="inlineStr">
        <is>
          <t>db.r5b.2xlarge</t>
        </is>
      </c>
      <c r="B98" s="46" t="n">
        <v>1.184</v>
      </c>
      <c r="C98" s="10" t="n">
        <v>8</v>
      </c>
      <c r="D98" s="10" t="n">
        <v>64</v>
      </c>
      <c r="E98" s="10" t="inlineStr">
        <is>
          <t>Memory optimized</t>
        </is>
      </c>
      <c r="F98" s="16">
        <f>MIN(ConnCapMax,D98*1024*1024*1024/ConnDivisor)</f>
        <v/>
      </c>
      <c r="G98" s="15">
        <f>C98*CpuTarget</f>
        <v/>
      </c>
    </row>
    <row r="99">
      <c r="A99" s="10" t="inlineStr">
        <is>
          <t>db.r6id.2xlarge</t>
        </is>
      </c>
      <c r="B99" s="46" t="n">
        <v>1.193</v>
      </c>
      <c r="C99" s="10" t="n">
        <v>8</v>
      </c>
      <c r="D99" s="10" t="n">
        <v>64</v>
      </c>
      <c r="E99" s="10" t="inlineStr">
        <is>
          <t>Memory optimized</t>
        </is>
      </c>
      <c r="F99" s="16">
        <f>MIN(ConnCapMax,D99*1024*1024*1024/ConnDivisor)</f>
        <v/>
      </c>
      <c r="G99" s="15">
        <f>C99*CpuTarget</f>
        <v/>
      </c>
    </row>
    <row r="100">
      <c r="A100" s="10" t="inlineStr">
        <is>
          <t>db.r8a.2xlarge</t>
        </is>
      </c>
      <c r="B100" s="46" t="n">
        <v>1.2076</v>
      </c>
      <c r="C100" s="10" t="n">
        <v>8</v>
      </c>
      <c r="D100" s="10" t="n">
        <v>64</v>
      </c>
      <c r="E100" s="10" t="inlineStr">
        <is>
          <t>Memory optimized</t>
        </is>
      </c>
      <c r="F100" s="16">
        <f>MIN(ConnCapMax,D100*1024*1024*1024/ConnDivisor)</f>
        <v/>
      </c>
      <c r="G100" s="15">
        <f>C100*CpuTarget</f>
        <v/>
      </c>
    </row>
    <row r="101">
      <c r="A101" s="10" t="inlineStr">
        <is>
          <t>db.m6g.4xlarge</t>
        </is>
      </c>
      <c r="B101" s="46" t="n">
        <v>1.272</v>
      </c>
      <c r="C101" s="10" t="n">
        <v>16</v>
      </c>
      <c r="D101" s="10" t="n">
        <v>64</v>
      </c>
      <c r="E101" s="10" t="inlineStr">
        <is>
          <t>General purpose</t>
        </is>
      </c>
      <c r="F101" s="16">
        <f>MIN(ConnCapMax,D101*1024*1024*1024/ConnDivisor)</f>
        <v/>
      </c>
      <c r="G101" s="15">
        <f>C101*CpuTarget</f>
        <v/>
      </c>
    </row>
    <row r="102">
      <c r="A102" s="10" t="inlineStr">
        <is>
          <t>db.x2g.2xlarge</t>
        </is>
      </c>
      <c r="B102" s="46" t="n">
        <v>1.304</v>
      </c>
      <c r="C102" s="10" t="n">
        <v>8</v>
      </c>
      <c r="D102" s="10" t="n">
        <v>128</v>
      </c>
      <c r="E102" s="10" t="inlineStr">
        <is>
          <t>Memory optimized</t>
        </is>
      </c>
      <c r="F102" s="16">
        <f>MIN(ConnCapMax,D102*1024*1024*1024/ConnDivisor)</f>
        <v/>
      </c>
      <c r="G102" s="15">
        <f>C102*CpuTarget</f>
        <v/>
      </c>
    </row>
    <row r="103">
      <c r="A103" s="10" t="inlineStr">
        <is>
          <t>db.m8g.4xlarge</t>
        </is>
      </c>
      <c r="B103" s="46" t="n">
        <v>1.344</v>
      </c>
      <c r="C103" s="10" t="n">
        <v>16</v>
      </c>
      <c r="D103" s="10" t="n">
        <v>64</v>
      </c>
      <c r="E103" s="10" t="inlineStr">
        <is>
          <t>General purpose</t>
        </is>
      </c>
      <c r="F103" s="16">
        <f>MIN(ConnCapMax,D103*1024*1024*1024/ConnDivisor)</f>
        <v/>
      </c>
      <c r="G103" s="15">
        <f>C103*CpuTarget</f>
        <v/>
      </c>
    </row>
    <row r="104">
      <c r="A104" s="10" t="inlineStr">
        <is>
          <t>db.m7g.4xlarge</t>
        </is>
      </c>
      <c r="B104" s="46" t="n">
        <v>1.348</v>
      </c>
      <c r="C104" s="10" t="n">
        <v>16</v>
      </c>
      <c r="D104" s="10" t="n">
        <v>64</v>
      </c>
      <c r="E104" s="10" t="inlineStr">
        <is>
          <t>General purpose</t>
        </is>
      </c>
      <c r="F104" s="16">
        <f>MIN(ConnCapMax,D104*1024*1024*1024/ConnDivisor)</f>
        <v/>
      </c>
      <c r="G104" s="15">
        <f>C104*CpuTarget</f>
        <v/>
      </c>
    </row>
    <row r="105">
      <c r="A105" s="10" t="inlineStr">
        <is>
          <t>db.r6in.2xlarge</t>
        </is>
      </c>
      <c r="B105" s="46" t="n">
        <v>1.384</v>
      </c>
      <c r="C105" s="10" t="n">
        <v>8</v>
      </c>
      <c r="D105" s="10" t="n">
        <v>64</v>
      </c>
      <c r="E105" s="10" t="inlineStr">
        <is>
          <t>Memory optimized</t>
        </is>
      </c>
      <c r="F105" s="16">
        <f>MIN(ConnCapMax,D105*1024*1024*1024/ConnDivisor)</f>
        <v/>
      </c>
      <c r="G105" s="15">
        <f>C105*CpuTarget</f>
        <v/>
      </c>
    </row>
    <row r="106">
      <c r="A106" s="10" t="inlineStr">
        <is>
          <t>db.m5.4xlarge</t>
        </is>
      </c>
      <c r="B106" s="46" t="n">
        <v>1.424</v>
      </c>
      <c r="C106" s="10" t="n">
        <v>16</v>
      </c>
      <c r="D106" s="10" t="n">
        <v>64</v>
      </c>
      <c r="E106" s="10" t="inlineStr">
        <is>
          <t>General purpose</t>
        </is>
      </c>
      <c r="F106" s="16">
        <f>MIN(ConnCapMax,D106*1024*1024*1024/ConnDivisor)</f>
        <v/>
      </c>
      <c r="G106" s="15">
        <f>C106*CpuTarget</f>
        <v/>
      </c>
    </row>
    <row r="107">
      <c r="A107" s="10" t="inlineStr">
        <is>
          <t>db.m6i.4xlarge</t>
        </is>
      </c>
      <c r="B107" s="46" t="n">
        <v>1.424</v>
      </c>
      <c r="C107" s="10" t="n">
        <v>16</v>
      </c>
      <c r="D107" s="10" t="n">
        <v>64</v>
      </c>
      <c r="E107" s="10" t="inlineStr">
        <is>
          <t>General purpose</t>
        </is>
      </c>
      <c r="F107" s="16">
        <f>MIN(ConnCapMax,D107*1024*1024*1024/ConnDivisor)</f>
        <v/>
      </c>
      <c r="G107" s="15">
        <f>C107*CpuTarget</f>
        <v/>
      </c>
    </row>
    <row r="108">
      <c r="A108" s="10" t="inlineStr">
        <is>
          <t>db.m7i.4xlarge</t>
        </is>
      </c>
      <c r="B108" s="46" t="n">
        <v>1.424</v>
      </c>
      <c r="C108" s="10" t="n">
        <v>16</v>
      </c>
      <c r="D108" s="10" t="n">
        <v>64</v>
      </c>
      <c r="E108" s="10" t="inlineStr">
        <is>
          <t>General purpose</t>
        </is>
      </c>
      <c r="F108" s="16">
        <f>MIN(ConnCapMax,D108*1024*1024*1024/ConnDivisor)</f>
        <v/>
      </c>
      <c r="G108" s="15">
        <f>C108*CpuTarget</f>
        <v/>
      </c>
    </row>
    <row r="109">
      <c r="A109" s="10" t="inlineStr">
        <is>
          <t>db.m9g.4xlarge</t>
        </is>
      </c>
      <c r="B109" s="46" t="n">
        <v>1.465</v>
      </c>
      <c r="C109" s="10" t="n">
        <v>16</v>
      </c>
      <c r="D109" s="10" t="n">
        <v>64</v>
      </c>
      <c r="E109" s="10" t="inlineStr">
        <is>
          <t>General purpose</t>
        </is>
      </c>
      <c r="F109" s="16">
        <f>MIN(ConnCapMax,D109*1024*1024*1024/ConnDivisor)</f>
        <v/>
      </c>
      <c r="G109" s="15">
        <f>C109*CpuTarget</f>
        <v/>
      </c>
    </row>
    <row r="110">
      <c r="A110" s="10" t="inlineStr">
        <is>
          <t>db.m6gd.4xlarge</t>
        </is>
      </c>
      <c r="B110" s="46" t="n">
        <v>1.493</v>
      </c>
      <c r="C110" s="10" t="n">
        <v>16</v>
      </c>
      <c r="D110" s="10" t="n">
        <v>64</v>
      </c>
      <c r="E110" s="10" t="inlineStr">
        <is>
          <t>General purpose</t>
        </is>
      </c>
      <c r="F110" s="16">
        <f>MIN(ConnCapMax,D110*1024*1024*1024/ConnDivisor)</f>
        <v/>
      </c>
      <c r="G110" s="15">
        <f>C110*CpuTarget</f>
        <v/>
      </c>
    </row>
    <row r="111">
      <c r="A111" s="10" t="inlineStr">
        <is>
          <t>db.r6idn.2xlarge</t>
        </is>
      </c>
      <c r="B111" s="46" t="n">
        <v>1.551</v>
      </c>
      <c r="C111" s="10" t="n">
        <v>8</v>
      </c>
      <c r="D111" s="10" t="n">
        <v>64</v>
      </c>
      <c r="E111" s="10" t="inlineStr">
        <is>
          <t>Memory optimized</t>
        </is>
      </c>
      <c r="F111" s="16">
        <f>MIN(ConnCapMax,D111*1024*1024*1024/ConnDivisor)</f>
        <v/>
      </c>
      <c r="G111" s="15">
        <f>C111*CpuTarget</f>
        <v/>
      </c>
    </row>
    <row r="112">
      <c r="A112" s="10" t="inlineStr">
        <is>
          <t>db.m8gd.4xlarge</t>
        </is>
      </c>
      <c r="B112" s="46" t="n">
        <v>1.5808</v>
      </c>
      <c r="C112" s="10" t="n">
        <v>16</v>
      </c>
      <c r="D112" s="10" t="n">
        <v>64</v>
      </c>
      <c r="E112" s="10" t="inlineStr">
        <is>
          <t>Memory optimized</t>
        </is>
      </c>
      <c r="F112" s="16">
        <f>MIN(ConnCapMax,D112*1024*1024*1024/ConnDivisor)</f>
        <v/>
      </c>
      <c r="G112" s="15">
        <f>C112*CpuTarget</f>
        <v/>
      </c>
    </row>
    <row r="113">
      <c r="A113" s="10" t="inlineStr">
        <is>
          <t>db.m5d.4xlarge</t>
        </is>
      </c>
      <c r="B113" s="46" t="n">
        <v>1.676</v>
      </c>
      <c r="C113" s="10" t="n">
        <v>16</v>
      </c>
      <c r="D113" s="10" t="n">
        <v>64</v>
      </c>
      <c r="E113" s="10" t="inlineStr">
        <is>
          <t>General purpose</t>
        </is>
      </c>
      <c r="F113" s="16">
        <f>MIN(ConnCapMax,D113*1024*1024*1024/ConnDivisor)</f>
        <v/>
      </c>
      <c r="G113" s="15">
        <f>C113*CpuTarget</f>
        <v/>
      </c>
    </row>
    <row r="114">
      <c r="A114" s="10" t="inlineStr">
        <is>
          <t>db.m8a.4xlarge</t>
        </is>
      </c>
      <c r="B114" s="46" t="n">
        <v>1.7192</v>
      </c>
      <c r="C114" s="10" t="n">
        <v>16</v>
      </c>
      <c r="D114" s="10" t="n">
        <v>64</v>
      </c>
      <c r="E114" s="10" t="inlineStr">
        <is>
          <t>General purpose</t>
        </is>
      </c>
      <c r="F114" s="16">
        <f>MIN(ConnCapMax,D114*1024*1024*1024/ConnDivisor)</f>
        <v/>
      </c>
      <c r="G114" s="15">
        <f>C114*CpuTarget</f>
        <v/>
      </c>
    </row>
    <row r="115">
      <c r="A115" s="10" t="inlineStr">
        <is>
          <t>db.m6id.4xlarge</t>
        </is>
      </c>
      <c r="B115" s="46" t="n">
        <v>1.794</v>
      </c>
      <c r="C115" s="10" t="n">
        <v>16</v>
      </c>
      <c r="D115" s="10" t="n">
        <v>64</v>
      </c>
      <c r="E115" s="10" t="inlineStr">
        <is>
          <t>General purpose</t>
        </is>
      </c>
      <c r="F115" s="16">
        <f>MIN(ConnCapMax,D115*1024*1024*1024/ConnDivisor)</f>
        <v/>
      </c>
      <c r="G115" s="15">
        <f>C115*CpuTarget</f>
        <v/>
      </c>
    </row>
    <row r="116">
      <c r="A116" s="10" t="inlineStr">
        <is>
          <t>db.r6g.4xlarge</t>
        </is>
      </c>
      <c r="B116" s="46" t="n">
        <v>1.798</v>
      </c>
      <c r="C116" s="10" t="n">
        <v>16</v>
      </c>
      <c r="D116" s="10" t="n">
        <v>128</v>
      </c>
      <c r="E116" s="10" t="inlineStr">
        <is>
          <t>Memory optimized</t>
        </is>
      </c>
      <c r="F116" s="16">
        <f>MIN(ConnCapMax,D116*1024*1024*1024/ConnDivisor)</f>
        <v/>
      </c>
      <c r="G116" s="15">
        <f>C116*CpuTarget</f>
        <v/>
      </c>
    </row>
    <row r="117">
      <c r="A117" s="10" t="inlineStr">
        <is>
          <t>db.x2iedn.xlarge</t>
        </is>
      </c>
      <c r="B117" s="46" t="n">
        <v>1.902</v>
      </c>
      <c r="C117" s="10" t="n">
        <v>4</v>
      </c>
      <c r="D117" s="10" t="n">
        <v>128</v>
      </c>
      <c r="E117" s="10" t="inlineStr">
        <is>
          <t>Memory optimized</t>
        </is>
      </c>
      <c r="F117" s="16">
        <f>MIN(ConnCapMax,D117*1024*1024*1024/ConnDivisor)</f>
        <v/>
      </c>
      <c r="G117" s="15">
        <f>C117*CpuTarget</f>
        <v/>
      </c>
    </row>
    <row r="118">
      <c r="A118" s="10" t="inlineStr">
        <is>
          <t>db.r8g.4xlarge</t>
        </is>
      </c>
      <c r="B118" s="46" t="n">
        <v>1.912</v>
      </c>
      <c r="C118" s="10" t="n">
        <v>16</v>
      </c>
      <c r="D118" s="10" t="n">
        <v>128</v>
      </c>
      <c r="E118" s="10" t="inlineStr">
        <is>
          <t>Memory optimized</t>
        </is>
      </c>
      <c r="F118" s="16">
        <f>MIN(ConnCapMax,D118*1024*1024*1024/ConnDivisor)</f>
        <v/>
      </c>
      <c r="G118" s="15">
        <f>C118*CpuTarget</f>
        <v/>
      </c>
    </row>
    <row r="119">
      <c r="A119" s="10" t="inlineStr">
        <is>
          <t>db.r7g.4xlarge</t>
        </is>
      </c>
      <c r="B119" s="46" t="n">
        <v>1.913</v>
      </c>
      <c r="C119" s="10" t="n">
        <v>16</v>
      </c>
      <c r="D119" s="10" t="n">
        <v>128</v>
      </c>
      <c r="E119" s="10" t="inlineStr">
        <is>
          <t>Memory optimized</t>
        </is>
      </c>
      <c r="F119" s="16">
        <f>MIN(ConnCapMax,D119*1024*1024*1024/ConnDivisor)</f>
        <v/>
      </c>
      <c r="G119" s="15">
        <f>C119*CpuTarget</f>
        <v/>
      </c>
    </row>
    <row r="120">
      <c r="A120" s="10" t="inlineStr">
        <is>
          <t>db.r5.4xlarge</t>
        </is>
      </c>
      <c r="B120" s="46" t="n">
        <v>2</v>
      </c>
      <c r="C120" s="10" t="n">
        <v>16</v>
      </c>
      <c r="D120" s="10" t="n">
        <v>128</v>
      </c>
      <c r="E120" s="10" t="inlineStr">
        <is>
          <t>Memory optimized</t>
        </is>
      </c>
      <c r="F120" s="16">
        <f>MIN(ConnCapMax,D120*1024*1024*1024/ConnDivisor)</f>
        <v/>
      </c>
      <c r="G120" s="15">
        <f>C120*CpuTarget</f>
        <v/>
      </c>
    </row>
    <row r="121">
      <c r="A121" s="10" t="inlineStr">
        <is>
          <t>db.r6i.4xlarge</t>
        </is>
      </c>
      <c r="B121" s="46" t="n">
        <v>2</v>
      </c>
      <c r="C121" s="10" t="n">
        <v>16</v>
      </c>
      <c r="D121" s="10" t="n">
        <v>128</v>
      </c>
      <c r="E121" s="10" t="inlineStr">
        <is>
          <t>Memory optimized</t>
        </is>
      </c>
      <c r="F121" s="16">
        <f>MIN(ConnCapMax,D121*1024*1024*1024/ConnDivisor)</f>
        <v/>
      </c>
      <c r="G121" s="15">
        <f>C121*CpuTarget</f>
        <v/>
      </c>
    </row>
    <row r="122">
      <c r="A122" s="10" t="inlineStr">
        <is>
          <t>db.r7i.4xlarge</t>
        </is>
      </c>
      <c r="B122" s="46" t="n">
        <v>2</v>
      </c>
      <c r="C122" s="10" t="n">
        <v>16</v>
      </c>
      <c r="D122" s="10" t="n">
        <v>128</v>
      </c>
      <c r="E122" s="10" t="inlineStr">
        <is>
          <t>Memory optimized</t>
        </is>
      </c>
      <c r="F122" s="16">
        <f>MIN(ConnCapMax,D122*1024*1024*1024/ConnDivisor)</f>
        <v/>
      </c>
      <c r="G122" s="15">
        <f>C122*CpuTarget</f>
        <v/>
      </c>
    </row>
    <row r="123">
      <c r="A123" s="10" t="inlineStr">
        <is>
          <t>db.r6gd.4xlarge</t>
        </is>
      </c>
      <c r="B123" s="46" t="n">
        <v>2.057</v>
      </c>
      <c r="C123" s="10" t="n">
        <v>16</v>
      </c>
      <c r="D123" s="10" t="n">
        <v>128</v>
      </c>
      <c r="E123" s="10" t="inlineStr">
        <is>
          <t>Memory optimized</t>
        </is>
      </c>
      <c r="F123" s="16">
        <f>MIN(ConnCapMax,D123*1024*1024*1024/ConnDivisor)</f>
        <v/>
      </c>
      <c r="G123" s="15">
        <f>C123*CpuTarget</f>
        <v/>
      </c>
    </row>
    <row r="124">
      <c r="A124" s="10" t="inlineStr">
        <is>
          <t>db.m6in.4xlarge</t>
        </is>
      </c>
      <c r="B124" s="46" t="n">
        <v>2.066</v>
      </c>
      <c r="C124" s="10" t="n">
        <v>16</v>
      </c>
      <c r="D124" s="10" t="n">
        <v>64</v>
      </c>
      <c r="E124" s="10" t="inlineStr">
        <is>
          <t>General purpose</t>
        </is>
      </c>
      <c r="F124" s="16">
        <f>MIN(ConnCapMax,D124*1024*1024*1024/ConnDivisor)</f>
        <v/>
      </c>
      <c r="G124" s="15">
        <f>C124*CpuTarget</f>
        <v/>
      </c>
    </row>
    <row r="125">
      <c r="A125" s="10" t="inlineStr">
        <is>
          <t>db.r8gd.4xlarge</t>
        </is>
      </c>
      <c r="B125" s="46" t="n">
        <v>2.184</v>
      </c>
      <c r="C125" s="10" t="n">
        <v>16</v>
      </c>
      <c r="D125" s="10" t="n">
        <v>128</v>
      </c>
      <c r="E125" s="10" t="inlineStr">
        <is>
          <t>Memory optimized</t>
        </is>
      </c>
      <c r="F125" s="16">
        <f>MIN(ConnCapMax,D125*1024*1024*1024/ConnDivisor)</f>
        <v/>
      </c>
      <c r="G125" s="15">
        <f>C125*CpuTarget</f>
        <v/>
      </c>
    </row>
    <row r="126">
      <c r="A126" s="10" t="inlineStr">
        <is>
          <t>db.r5d.4xlarge</t>
        </is>
      </c>
      <c r="B126" s="46" t="n">
        <v>2.286</v>
      </c>
      <c r="C126" s="10" t="n">
        <v>16</v>
      </c>
      <c r="D126" s="10" t="n">
        <v>128</v>
      </c>
      <c r="E126" s="10" t="inlineStr">
        <is>
          <t>Memory optimized</t>
        </is>
      </c>
      <c r="F126" s="16">
        <f>MIN(ConnCapMax,D126*1024*1024*1024/ConnDivisor)</f>
        <v/>
      </c>
      <c r="G126" s="15">
        <f>C126*CpuTarget</f>
        <v/>
      </c>
    </row>
    <row r="127">
      <c r="A127" s="10" t="inlineStr">
        <is>
          <t>db.m6idn.4xlarge</t>
        </is>
      </c>
      <c r="B127" s="46" t="n">
        <v>2.36</v>
      </c>
      <c r="C127" s="10" t="n">
        <v>16</v>
      </c>
      <c r="D127" s="10" t="n">
        <v>64</v>
      </c>
      <c r="E127" s="10" t="inlineStr">
        <is>
          <t>General purpose</t>
        </is>
      </c>
      <c r="F127" s="16">
        <f>MIN(ConnCapMax,D127*1024*1024*1024/ConnDivisor)</f>
        <v/>
      </c>
      <c r="G127" s="15">
        <f>C127*CpuTarget</f>
        <v/>
      </c>
    </row>
    <row r="128">
      <c r="A128" s="10" t="inlineStr">
        <is>
          <t>db.r5b.4xlarge</t>
        </is>
      </c>
      <c r="B128" s="46" t="n">
        <v>2.368</v>
      </c>
      <c r="C128" s="10" t="n">
        <v>16</v>
      </c>
      <c r="D128" s="10" t="n">
        <v>128</v>
      </c>
      <c r="E128" s="10" t="inlineStr">
        <is>
          <t>Memory optimized</t>
        </is>
      </c>
      <c r="F128" s="16">
        <f>MIN(ConnCapMax,D128*1024*1024*1024/ConnDivisor)</f>
        <v/>
      </c>
      <c r="G128" s="15">
        <f>C128*CpuTarget</f>
        <v/>
      </c>
    </row>
    <row r="129">
      <c r="A129" s="10" t="inlineStr">
        <is>
          <t>db.r6id.4xlarge</t>
        </is>
      </c>
      <c r="B129" s="46" t="n">
        <v>2.386</v>
      </c>
      <c r="C129" s="10" t="n">
        <v>16</v>
      </c>
      <c r="D129" s="10" t="n">
        <v>128</v>
      </c>
      <c r="E129" s="10" t="inlineStr">
        <is>
          <t>Memory optimized</t>
        </is>
      </c>
      <c r="F129" s="16">
        <f>MIN(ConnCapMax,D129*1024*1024*1024/ConnDivisor)</f>
        <v/>
      </c>
      <c r="G129" s="15">
        <f>C129*CpuTarget</f>
        <v/>
      </c>
    </row>
    <row r="130">
      <c r="A130" s="10" t="inlineStr">
        <is>
          <t>db.r8a.4xlarge</t>
        </is>
      </c>
      <c r="B130" s="46" t="n">
        <v>2.4152</v>
      </c>
      <c r="C130" s="10" t="n">
        <v>16</v>
      </c>
      <c r="D130" s="10" t="n">
        <v>128</v>
      </c>
      <c r="E130" s="10" t="inlineStr">
        <is>
          <t>Memory optimized</t>
        </is>
      </c>
      <c r="F130" s="16">
        <f>MIN(ConnCapMax,D130*1024*1024*1024/ConnDivisor)</f>
        <v/>
      </c>
      <c r="G130" s="15">
        <f>C130*CpuTarget</f>
        <v/>
      </c>
    </row>
    <row r="131">
      <c r="A131" s="10" t="inlineStr">
        <is>
          <t>db.m6g.8xlarge</t>
        </is>
      </c>
      <c r="B131" s="46" t="n">
        <v>2.544</v>
      </c>
      <c r="C131" s="10" t="n">
        <v>32</v>
      </c>
      <c r="D131" s="10" t="n">
        <v>128</v>
      </c>
      <c r="E131" s="10" t="inlineStr">
        <is>
          <t>General purpose</t>
        </is>
      </c>
      <c r="F131" s="16">
        <f>MIN(ConnCapMax,D131*1024*1024*1024/ConnDivisor)</f>
        <v/>
      </c>
      <c r="G131" s="15">
        <f>C131*CpuTarget</f>
        <v/>
      </c>
    </row>
    <row r="132">
      <c r="A132" s="10" t="inlineStr">
        <is>
          <t>db.x2g.4xlarge</t>
        </is>
      </c>
      <c r="B132" s="46" t="n">
        <v>2.608</v>
      </c>
      <c r="C132" s="10" t="n">
        <v>16</v>
      </c>
      <c r="D132" s="10" t="n">
        <v>256</v>
      </c>
      <c r="E132" s="10" t="inlineStr">
        <is>
          <t>Memory optimized</t>
        </is>
      </c>
      <c r="F132" s="16">
        <f>MIN(ConnCapMax,D132*1024*1024*1024/ConnDivisor)</f>
        <v/>
      </c>
      <c r="G132" s="15">
        <f>C132*CpuTarget</f>
        <v/>
      </c>
    </row>
    <row r="133">
      <c r="A133" s="10" t="inlineStr">
        <is>
          <t>db.m8g.8xlarge</t>
        </is>
      </c>
      <c r="B133" s="46" t="n">
        <v>2.688</v>
      </c>
      <c r="C133" s="10" t="n">
        <v>32</v>
      </c>
      <c r="D133" s="10" t="n">
        <v>128</v>
      </c>
      <c r="E133" s="10" t="inlineStr">
        <is>
          <t>General purpose</t>
        </is>
      </c>
      <c r="F133" s="16">
        <f>MIN(ConnCapMax,D133*1024*1024*1024/ConnDivisor)</f>
        <v/>
      </c>
      <c r="G133" s="15">
        <f>C133*CpuTarget</f>
        <v/>
      </c>
    </row>
    <row r="134">
      <c r="A134" s="10" t="inlineStr">
        <is>
          <t>db.m7g.8xlarge</t>
        </is>
      </c>
      <c r="B134" s="46" t="n">
        <v>2.696</v>
      </c>
      <c r="C134" s="10" t="n">
        <v>32</v>
      </c>
      <c r="D134" s="10" t="n">
        <v>128</v>
      </c>
      <c r="E134" s="10" t="inlineStr">
        <is>
          <t>General purpose</t>
        </is>
      </c>
      <c r="F134" s="16">
        <f>MIN(ConnCapMax,D134*1024*1024*1024/ConnDivisor)</f>
        <v/>
      </c>
      <c r="G134" s="15">
        <f>C134*CpuTarget</f>
        <v/>
      </c>
    </row>
    <row r="135">
      <c r="A135" s="10" t="inlineStr">
        <is>
          <t>db.r6in.4xlarge</t>
        </is>
      </c>
      <c r="B135" s="46" t="n">
        <v>2.767</v>
      </c>
      <c r="C135" s="10" t="n">
        <v>16</v>
      </c>
      <c r="D135" s="10" t="n">
        <v>128</v>
      </c>
      <c r="E135" s="10" t="inlineStr">
        <is>
          <t>Memory optimized</t>
        </is>
      </c>
      <c r="F135" s="16">
        <f>MIN(ConnCapMax,D135*1024*1024*1024/ConnDivisor)</f>
        <v/>
      </c>
      <c r="G135" s="15">
        <f>C135*CpuTarget</f>
        <v/>
      </c>
    </row>
    <row r="136">
      <c r="A136" s="10" t="inlineStr">
        <is>
          <t>db.m5.8xlarge</t>
        </is>
      </c>
      <c r="B136" s="46" t="n">
        <v>2.848</v>
      </c>
      <c r="C136" s="10" t="n">
        <v>32</v>
      </c>
      <c r="D136" s="10" t="n">
        <v>128</v>
      </c>
      <c r="E136" s="10" t="inlineStr">
        <is>
          <t>General purpose</t>
        </is>
      </c>
      <c r="F136" s="16">
        <f>MIN(ConnCapMax,D136*1024*1024*1024/ConnDivisor)</f>
        <v/>
      </c>
      <c r="G136" s="15">
        <f>C136*CpuTarget</f>
        <v/>
      </c>
    </row>
    <row r="137">
      <c r="A137" s="10" t="inlineStr">
        <is>
          <t>db.m6i.8xlarge</t>
        </is>
      </c>
      <c r="B137" s="46" t="n">
        <v>2.848</v>
      </c>
      <c r="C137" s="10" t="n">
        <v>32</v>
      </c>
      <c r="D137" s="10" t="n">
        <v>128</v>
      </c>
      <c r="E137" s="10" t="inlineStr">
        <is>
          <t>General purpose</t>
        </is>
      </c>
      <c r="F137" s="16">
        <f>MIN(ConnCapMax,D137*1024*1024*1024/ConnDivisor)</f>
        <v/>
      </c>
      <c r="G137" s="15">
        <f>C137*CpuTarget</f>
        <v/>
      </c>
    </row>
    <row r="138">
      <c r="A138" s="10" t="inlineStr">
        <is>
          <t>db.m7i.8xlarge</t>
        </is>
      </c>
      <c r="B138" s="46" t="n">
        <v>2.848</v>
      </c>
      <c r="C138" s="10" t="n">
        <v>32</v>
      </c>
      <c r="D138" s="10" t="n">
        <v>128</v>
      </c>
      <c r="E138" s="10" t="inlineStr">
        <is>
          <t>General purpose</t>
        </is>
      </c>
      <c r="F138" s="16">
        <f>MIN(ConnCapMax,D138*1024*1024*1024/ConnDivisor)</f>
        <v/>
      </c>
      <c r="G138" s="15">
        <f>C138*CpuTarget</f>
        <v/>
      </c>
    </row>
    <row r="139">
      <c r="A139" s="10" t="inlineStr">
        <is>
          <t>db.m9g.8xlarge</t>
        </is>
      </c>
      <c r="B139" s="46" t="n">
        <v>2.93</v>
      </c>
      <c r="C139" s="10" t="n">
        <v>32</v>
      </c>
      <c r="D139" s="10" t="n">
        <v>128</v>
      </c>
      <c r="E139" s="10" t="inlineStr">
        <is>
          <t>General purpose</t>
        </is>
      </c>
      <c r="F139" s="16">
        <f>MIN(ConnCapMax,D139*1024*1024*1024/ConnDivisor)</f>
        <v/>
      </c>
      <c r="G139" s="15">
        <f>C139*CpuTarget</f>
        <v/>
      </c>
    </row>
    <row r="140">
      <c r="A140" s="10" t="inlineStr">
        <is>
          <t>db.m6gd.8xlarge</t>
        </is>
      </c>
      <c r="B140" s="46" t="n">
        <v>2.987</v>
      </c>
      <c r="C140" s="10" t="n">
        <v>32</v>
      </c>
      <c r="D140" s="10" t="n">
        <v>128</v>
      </c>
      <c r="E140" s="10" t="inlineStr">
        <is>
          <t>General purpose</t>
        </is>
      </c>
      <c r="F140" s="16">
        <f>MIN(ConnCapMax,D140*1024*1024*1024/ConnDivisor)</f>
        <v/>
      </c>
      <c r="G140" s="15">
        <f>C140*CpuTarget</f>
        <v/>
      </c>
    </row>
    <row r="141">
      <c r="A141" s="10" t="inlineStr">
        <is>
          <t>db.r6idn.4xlarge</t>
        </is>
      </c>
      <c r="B141" s="46" t="n">
        <v>3.101</v>
      </c>
      <c r="C141" s="10" t="n">
        <v>16</v>
      </c>
      <c r="D141" s="10" t="n">
        <v>128</v>
      </c>
      <c r="E141" s="10" t="inlineStr">
        <is>
          <t>Memory optimized</t>
        </is>
      </c>
      <c r="F141" s="16">
        <f>MIN(ConnCapMax,D141*1024*1024*1024/ConnDivisor)</f>
        <v/>
      </c>
      <c r="G141" s="15">
        <f>C141*CpuTarget</f>
        <v/>
      </c>
    </row>
    <row r="142">
      <c r="A142" s="10" t="inlineStr">
        <is>
          <t>db.m8gd.8xlarge</t>
        </is>
      </c>
      <c r="B142" s="46" t="n">
        <v>3.1616</v>
      </c>
      <c r="C142" s="10" t="n">
        <v>32</v>
      </c>
      <c r="D142" s="10" t="n">
        <v>128</v>
      </c>
      <c r="E142" s="10" t="inlineStr">
        <is>
          <t>Memory optimized</t>
        </is>
      </c>
      <c r="F142" s="16">
        <f>MIN(ConnCapMax,D142*1024*1024*1024/ConnDivisor)</f>
        <v/>
      </c>
      <c r="G142" s="15">
        <f>C142*CpuTarget</f>
        <v/>
      </c>
    </row>
    <row r="143">
      <c r="A143" s="10" t="inlineStr">
        <is>
          <t>db.m5d.8xlarge</t>
        </is>
      </c>
      <c r="B143" s="46" t="n">
        <v>3.352</v>
      </c>
      <c r="C143" s="10" t="n">
        <v>32</v>
      </c>
      <c r="D143" s="10" t="n">
        <v>128</v>
      </c>
      <c r="E143" s="10" t="inlineStr">
        <is>
          <t>General purpose</t>
        </is>
      </c>
      <c r="F143" s="16">
        <f>MIN(ConnCapMax,D143*1024*1024*1024/ConnDivisor)</f>
        <v/>
      </c>
      <c r="G143" s="15">
        <f>C143*CpuTarget</f>
        <v/>
      </c>
    </row>
    <row r="144">
      <c r="A144" s="10" t="inlineStr">
        <is>
          <t>db.m8a.8xlarge</t>
        </is>
      </c>
      <c r="B144" s="46" t="n">
        <v>3.4384</v>
      </c>
      <c r="C144" s="10" t="n">
        <v>32</v>
      </c>
      <c r="D144" s="10" t="n">
        <v>128</v>
      </c>
      <c r="E144" s="10" t="inlineStr">
        <is>
          <t>General purpose</t>
        </is>
      </c>
      <c r="F144" s="16">
        <f>MIN(ConnCapMax,D144*1024*1024*1024/ConnDivisor)</f>
        <v/>
      </c>
      <c r="G144" s="15">
        <f>C144*CpuTarget</f>
        <v/>
      </c>
    </row>
    <row r="145">
      <c r="A145" s="10" t="inlineStr">
        <is>
          <t>db.m6id.8xlarge</t>
        </is>
      </c>
      <c r="B145" s="46" t="n">
        <v>3.587</v>
      </c>
      <c r="C145" s="10" t="n">
        <v>32</v>
      </c>
      <c r="D145" s="10" t="n">
        <v>128</v>
      </c>
      <c r="E145" s="10" t="inlineStr">
        <is>
          <t>General purpose</t>
        </is>
      </c>
      <c r="F145" s="16">
        <f>MIN(ConnCapMax,D145*1024*1024*1024/ConnDivisor)</f>
        <v/>
      </c>
      <c r="G145" s="15">
        <f>C145*CpuTarget</f>
        <v/>
      </c>
    </row>
    <row r="146">
      <c r="A146" s="10" t="inlineStr">
        <is>
          <t>db.r6g.8xlarge</t>
        </is>
      </c>
      <c r="B146" s="46" t="n">
        <v>3.597</v>
      </c>
      <c r="C146" s="10" t="n">
        <v>32</v>
      </c>
      <c r="D146" s="10" t="n">
        <v>256</v>
      </c>
      <c r="E146" s="10" t="inlineStr">
        <is>
          <t>Memory optimized</t>
        </is>
      </c>
      <c r="F146" s="16">
        <f>MIN(ConnCapMax,D146*1024*1024*1024/ConnDivisor)</f>
        <v/>
      </c>
      <c r="G146" s="15">
        <f>C146*CpuTarget</f>
        <v/>
      </c>
    </row>
    <row r="147">
      <c r="A147" s="10" t="inlineStr">
        <is>
          <t>db.x2iedn.2xlarge</t>
        </is>
      </c>
      <c r="B147" s="46" t="n">
        <v>3.804</v>
      </c>
      <c r="C147" s="10" t="n">
        <v>8</v>
      </c>
      <c r="D147" s="10" t="n">
        <v>256</v>
      </c>
      <c r="E147" s="10" t="inlineStr">
        <is>
          <t>Memory optimized</t>
        </is>
      </c>
      <c r="F147" s="16">
        <f>MIN(ConnCapMax,D147*1024*1024*1024/ConnDivisor)</f>
        <v/>
      </c>
      <c r="G147" s="15">
        <f>C147*CpuTarget</f>
        <v/>
      </c>
    </row>
    <row r="148">
      <c r="A148" s="10" t="inlineStr">
        <is>
          <t>db.m6g.12xlarge</t>
        </is>
      </c>
      <c r="B148" s="46" t="n">
        <v>3.816</v>
      </c>
      <c r="C148" s="10" t="n">
        <v>48</v>
      </c>
      <c r="D148" s="10" t="n">
        <v>192</v>
      </c>
      <c r="E148" s="10" t="inlineStr">
        <is>
          <t>General purpose</t>
        </is>
      </c>
      <c r="F148" s="16">
        <f>MIN(ConnCapMax,D148*1024*1024*1024/ConnDivisor)</f>
        <v/>
      </c>
      <c r="G148" s="15">
        <f>C148*CpuTarget</f>
        <v/>
      </c>
    </row>
    <row r="149">
      <c r="A149" s="10" t="inlineStr">
        <is>
          <t>db.r8g.8xlarge</t>
        </is>
      </c>
      <c r="B149" s="46" t="n">
        <v>3.824</v>
      </c>
      <c r="C149" s="10" t="n">
        <v>32</v>
      </c>
      <c r="D149" s="10" t="n">
        <v>256</v>
      </c>
      <c r="E149" s="10" t="inlineStr">
        <is>
          <t>Memory optimized</t>
        </is>
      </c>
      <c r="F149" s="16">
        <f>MIN(ConnCapMax,D149*1024*1024*1024/ConnDivisor)</f>
        <v/>
      </c>
      <c r="G149" s="15">
        <f>C149*CpuTarget</f>
        <v/>
      </c>
    </row>
    <row r="150">
      <c r="A150" s="10" t="inlineStr">
        <is>
          <t>db.r7g.8xlarge</t>
        </is>
      </c>
      <c r="B150" s="46" t="n">
        <v>3.825</v>
      </c>
      <c r="C150" s="10" t="n">
        <v>32</v>
      </c>
      <c r="D150" s="10" t="n">
        <v>256</v>
      </c>
      <c r="E150" s="10" t="inlineStr">
        <is>
          <t>Memory optimized</t>
        </is>
      </c>
      <c r="F150" s="16">
        <f>MIN(ConnCapMax,D150*1024*1024*1024/ConnDivisor)</f>
        <v/>
      </c>
      <c r="G150" s="15">
        <f>C150*CpuTarget</f>
        <v/>
      </c>
    </row>
    <row r="151">
      <c r="A151" s="10" t="inlineStr">
        <is>
          <t>db.r5.8xlarge</t>
        </is>
      </c>
      <c r="B151" s="46" t="n">
        <v>4</v>
      </c>
      <c r="C151" s="10" t="n">
        <v>32</v>
      </c>
      <c r="D151" s="10" t="n">
        <v>256</v>
      </c>
      <c r="E151" s="10" t="inlineStr">
        <is>
          <t>Memory optimized</t>
        </is>
      </c>
      <c r="F151" s="16">
        <f>MIN(ConnCapMax,D151*1024*1024*1024/ConnDivisor)</f>
        <v/>
      </c>
      <c r="G151" s="15">
        <f>C151*CpuTarget</f>
        <v/>
      </c>
    </row>
    <row r="152">
      <c r="A152" s="10" t="inlineStr">
        <is>
          <t>db.r6i.8xlarge</t>
        </is>
      </c>
      <c r="B152" s="46" t="n">
        <v>4</v>
      </c>
      <c r="C152" s="10" t="n">
        <v>32</v>
      </c>
      <c r="D152" s="10" t="n">
        <v>256</v>
      </c>
      <c r="E152" s="10" t="inlineStr">
        <is>
          <t>Memory optimized</t>
        </is>
      </c>
      <c r="F152" s="16">
        <f>MIN(ConnCapMax,D152*1024*1024*1024/ConnDivisor)</f>
        <v/>
      </c>
      <c r="G152" s="15">
        <f>C152*CpuTarget</f>
        <v/>
      </c>
    </row>
    <row r="153">
      <c r="A153" s="10" t="inlineStr">
        <is>
          <t>db.r7i.8xlarge</t>
        </is>
      </c>
      <c r="B153" s="46" t="n">
        <v>4</v>
      </c>
      <c r="C153" s="10" t="n">
        <v>32</v>
      </c>
      <c r="D153" s="10" t="n">
        <v>256</v>
      </c>
      <c r="E153" s="10" t="inlineStr">
        <is>
          <t>Memory optimized</t>
        </is>
      </c>
      <c r="F153" s="16">
        <f>MIN(ConnCapMax,D153*1024*1024*1024/ConnDivisor)</f>
        <v/>
      </c>
      <c r="G153" s="15">
        <f>C153*CpuTarget</f>
        <v/>
      </c>
    </row>
    <row r="154">
      <c r="A154" s="10" t="inlineStr">
        <is>
          <t>db.m8g.12xlarge</t>
        </is>
      </c>
      <c r="B154" s="46" t="n">
        <v>4.032</v>
      </c>
      <c r="C154" s="10" t="n">
        <v>48</v>
      </c>
      <c r="D154" s="10" t="n">
        <v>256</v>
      </c>
      <c r="E154" s="10" t="inlineStr">
        <is>
          <t>General purpose</t>
        </is>
      </c>
      <c r="F154" s="16">
        <f>MIN(ConnCapMax,D154*1024*1024*1024/ConnDivisor)</f>
        <v/>
      </c>
      <c r="G154" s="15">
        <f>C154*CpuTarget</f>
        <v/>
      </c>
    </row>
    <row r="155">
      <c r="A155" s="10" t="inlineStr">
        <is>
          <t>db.m7g.12xlarge</t>
        </is>
      </c>
      <c r="B155" s="46" t="n">
        <v>4.044</v>
      </c>
      <c r="C155" s="10" t="n">
        <v>48</v>
      </c>
      <c r="D155" s="10" t="n">
        <v>192</v>
      </c>
      <c r="E155" s="10" t="inlineStr">
        <is>
          <t>General purpose</t>
        </is>
      </c>
      <c r="F155" s="16">
        <f>MIN(ConnCapMax,D155*1024*1024*1024/ConnDivisor)</f>
        <v/>
      </c>
      <c r="G155" s="15">
        <f>C155*CpuTarget</f>
        <v/>
      </c>
    </row>
    <row r="156">
      <c r="A156" s="10" t="inlineStr">
        <is>
          <t>db.r6gd.8xlarge</t>
        </is>
      </c>
      <c r="B156" s="46" t="n">
        <v>4.114</v>
      </c>
      <c r="C156" s="10" t="n">
        <v>32</v>
      </c>
      <c r="D156" s="10" t="n">
        <v>256</v>
      </c>
      <c r="E156" s="10" t="inlineStr">
        <is>
          <t>Memory optimized</t>
        </is>
      </c>
      <c r="F156" s="16">
        <f>MIN(ConnCapMax,D156*1024*1024*1024/ConnDivisor)</f>
        <v/>
      </c>
      <c r="G156" s="15">
        <f>C156*CpuTarget</f>
        <v/>
      </c>
    </row>
    <row r="157">
      <c r="A157" s="10" t="inlineStr">
        <is>
          <t>db.m6in.8xlarge</t>
        </is>
      </c>
      <c r="B157" s="46" t="n">
        <v>4.131</v>
      </c>
      <c r="C157" s="10" t="n">
        <v>32</v>
      </c>
      <c r="D157" s="10" t="n">
        <v>128</v>
      </c>
      <c r="E157" s="10" t="inlineStr">
        <is>
          <t>General purpose</t>
        </is>
      </c>
      <c r="F157" s="16">
        <f>MIN(ConnCapMax,D157*1024*1024*1024/ConnDivisor)</f>
        <v/>
      </c>
      <c r="G157" s="15">
        <f>C157*CpuTarget</f>
        <v/>
      </c>
    </row>
    <row r="158">
      <c r="A158" s="10" t="inlineStr">
        <is>
          <t>db.m5.12xlarge</t>
        </is>
      </c>
      <c r="B158" s="46" t="n">
        <v>4.272</v>
      </c>
      <c r="C158" s="10" t="n">
        <v>48</v>
      </c>
      <c r="D158" s="10" t="n">
        <v>192</v>
      </c>
      <c r="E158" s="10" t="inlineStr">
        <is>
          <t>General purpose</t>
        </is>
      </c>
      <c r="F158" s="16">
        <f>MIN(ConnCapMax,D158*1024*1024*1024/ConnDivisor)</f>
        <v/>
      </c>
      <c r="G158" s="15">
        <f>C158*CpuTarget</f>
        <v/>
      </c>
    </row>
    <row r="159">
      <c r="A159" s="10" t="inlineStr">
        <is>
          <t>db.m6i.12xlarge</t>
        </is>
      </c>
      <c r="B159" s="46" t="n">
        <v>4.272</v>
      </c>
      <c r="C159" s="10" t="n">
        <v>48</v>
      </c>
      <c r="D159" s="10" t="n">
        <v>192</v>
      </c>
      <c r="E159" s="10" t="inlineStr">
        <is>
          <t>General purpose</t>
        </is>
      </c>
      <c r="F159" s="16">
        <f>MIN(ConnCapMax,D159*1024*1024*1024/ConnDivisor)</f>
        <v/>
      </c>
      <c r="G159" s="15">
        <f>C159*CpuTarget</f>
        <v/>
      </c>
    </row>
    <row r="160">
      <c r="A160" s="10" t="inlineStr">
        <is>
          <t>db.m7i.12xlarge</t>
        </is>
      </c>
      <c r="B160" s="46" t="n">
        <v>4.272</v>
      </c>
      <c r="C160" s="10" t="n">
        <v>48</v>
      </c>
      <c r="D160" s="10" t="n">
        <v>192</v>
      </c>
      <c r="E160" s="10" t="inlineStr">
        <is>
          <t>General purpose</t>
        </is>
      </c>
      <c r="F160" s="16">
        <f>MIN(ConnCapMax,D160*1024*1024*1024/ConnDivisor)</f>
        <v/>
      </c>
      <c r="G160" s="15">
        <f>C160*CpuTarget</f>
        <v/>
      </c>
    </row>
    <row r="161">
      <c r="A161" s="10" t="inlineStr">
        <is>
          <t>db.r8gd.8xlarge</t>
        </is>
      </c>
      <c r="B161" s="46" t="n">
        <v>4.368</v>
      </c>
      <c r="C161" s="10" t="n">
        <v>32</v>
      </c>
      <c r="D161" s="10" t="n">
        <v>256</v>
      </c>
      <c r="E161" s="10" t="inlineStr">
        <is>
          <t>Memory optimized</t>
        </is>
      </c>
      <c r="F161" s="16">
        <f>MIN(ConnCapMax,D161*1024*1024*1024/ConnDivisor)</f>
        <v/>
      </c>
      <c r="G161" s="15">
        <f>C161*CpuTarget</f>
        <v/>
      </c>
    </row>
    <row r="162">
      <c r="A162" s="10" t="inlineStr">
        <is>
          <t>db.m9g.12xlarge</t>
        </is>
      </c>
      <c r="B162" s="46" t="n">
        <v>4.395</v>
      </c>
      <c r="C162" s="10" t="n">
        <v>48</v>
      </c>
      <c r="D162" s="10" t="n">
        <v>192</v>
      </c>
      <c r="E162" s="10" t="inlineStr">
        <is>
          <t>General purpose</t>
        </is>
      </c>
      <c r="F162" s="16">
        <f>MIN(ConnCapMax,D162*1024*1024*1024/ConnDivisor)</f>
        <v/>
      </c>
      <c r="G162" s="15">
        <f>C162*CpuTarget</f>
        <v/>
      </c>
    </row>
    <row r="163">
      <c r="A163" s="10" t="inlineStr">
        <is>
          <t>db.m6gd.12xlarge</t>
        </is>
      </c>
      <c r="B163" s="46" t="n">
        <v>4.48</v>
      </c>
      <c r="C163" s="10" t="n">
        <v>48</v>
      </c>
      <c r="D163" s="10" t="n">
        <v>192</v>
      </c>
      <c r="E163" s="10" t="inlineStr">
        <is>
          <t>General purpose</t>
        </is>
      </c>
      <c r="F163" s="16">
        <f>MIN(ConnCapMax,D163*1024*1024*1024/ConnDivisor)</f>
        <v/>
      </c>
      <c r="G163" s="15">
        <f>C163*CpuTarget</f>
        <v/>
      </c>
    </row>
    <row r="164">
      <c r="A164" s="10" t="inlineStr">
        <is>
          <t>db.r5d.8xlarge</t>
        </is>
      </c>
      <c r="B164" s="46" t="n">
        <v>4.571</v>
      </c>
      <c r="C164" s="10" t="n">
        <v>32</v>
      </c>
      <c r="D164" s="10" t="n">
        <v>256</v>
      </c>
      <c r="E164" s="10" t="inlineStr">
        <is>
          <t>Memory optimized</t>
        </is>
      </c>
      <c r="F164" s="16">
        <f>MIN(ConnCapMax,D164*1024*1024*1024/ConnDivisor)</f>
        <v/>
      </c>
      <c r="G164" s="15">
        <f>C164*CpuTarget</f>
        <v/>
      </c>
    </row>
    <row r="165">
      <c r="A165" s="10" t="inlineStr">
        <is>
          <t>db.m6idn.8xlarge</t>
        </is>
      </c>
      <c r="B165" s="46" t="n">
        <v>4.72</v>
      </c>
      <c r="C165" s="10" t="n">
        <v>32</v>
      </c>
      <c r="D165" s="10" t="n">
        <v>128</v>
      </c>
      <c r="E165" s="10" t="inlineStr">
        <is>
          <t>General purpose</t>
        </is>
      </c>
      <c r="F165" s="16">
        <f>MIN(ConnCapMax,D165*1024*1024*1024/ConnDivisor)</f>
        <v/>
      </c>
      <c r="G165" s="15">
        <f>C165*CpuTarget</f>
        <v/>
      </c>
    </row>
    <row r="166">
      <c r="A166" s="10" t="inlineStr">
        <is>
          <t>db.r5b.8xlarge</t>
        </is>
      </c>
      <c r="B166" s="46" t="n">
        <v>4.736</v>
      </c>
      <c r="C166" s="10" t="n">
        <v>32</v>
      </c>
      <c r="D166" s="10" t="n">
        <v>256</v>
      </c>
      <c r="E166" s="10" t="inlineStr">
        <is>
          <t>Memory optimized</t>
        </is>
      </c>
      <c r="F166" s="16">
        <f>MIN(ConnCapMax,D166*1024*1024*1024/ConnDivisor)</f>
        <v/>
      </c>
      <c r="G166" s="15">
        <f>C166*CpuTarget</f>
        <v/>
      </c>
    </row>
    <row r="167">
      <c r="A167" s="10" t="inlineStr">
        <is>
          <t>db.m8gd.12xlarge</t>
        </is>
      </c>
      <c r="B167" s="46" t="n">
        <v>4.7424</v>
      </c>
      <c r="C167" s="10" t="n">
        <v>48</v>
      </c>
      <c r="D167" s="10" t="n">
        <v>192</v>
      </c>
      <c r="E167" s="10" t="inlineStr">
        <is>
          <t>Memory optimized</t>
        </is>
      </c>
      <c r="F167" s="16">
        <f>MIN(ConnCapMax,D167*1024*1024*1024/ConnDivisor)</f>
        <v/>
      </c>
      <c r="G167" s="15">
        <f>C167*CpuTarget</f>
        <v/>
      </c>
    </row>
    <row r="168">
      <c r="A168" s="10" t="inlineStr">
        <is>
          <t>db.r6id.8xlarge</t>
        </is>
      </c>
      <c r="B168" s="46" t="n">
        <v>4.771</v>
      </c>
      <c r="C168" s="10" t="n">
        <v>32</v>
      </c>
      <c r="D168" s="10" t="n">
        <v>256</v>
      </c>
      <c r="E168" s="10" t="inlineStr">
        <is>
          <t>Memory optimized</t>
        </is>
      </c>
      <c r="F168" s="16">
        <f>MIN(ConnCapMax,D168*1024*1024*1024/ConnDivisor)</f>
        <v/>
      </c>
      <c r="G168" s="15">
        <f>C168*CpuTarget</f>
        <v/>
      </c>
    </row>
    <row r="169">
      <c r="A169" s="10" t="inlineStr">
        <is>
          <t>db.r8a.8xlarge</t>
        </is>
      </c>
      <c r="B169" s="46" t="n">
        <v>4.8304</v>
      </c>
      <c r="C169" s="10" t="n">
        <v>32</v>
      </c>
      <c r="D169" s="10" t="n">
        <v>256</v>
      </c>
      <c r="E169" s="10" t="inlineStr">
        <is>
          <t>Memory optimized</t>
        </is>
      </c>
      <c r="F169" s="16">
        <f>MIN(ConnCapMax,D169*1024*1024*1024/ConnDivisor)</f>
        <v/>
      </c>
      <c r="G169" s="15">
        <f>C169*CpuTarget</f>
        <v/>
      </c>
    </row>
    <row r="170">
      <c r="A170" s="10" t="inlineStr">
        <is>
          <t>db.m5d.12xlarge</t>
        </is>
      </c>
      <c r="B170" s="46" t="n">
        <v>5.028</v>
      </c>
      <c r="C170" s="10" t="n">
        <v>48</v>
      </c>
      <c r="D170" s="10" t="n">
        <v>192</v>
      </c>
      <c r="E170" s="10" t="inlineStr">
        <is>
          <t>General purpose</t>
        </is>
      </c>
      <c r="F170" s="16">
        <f>MIN(ConnCapMax,D170*1024*1024*1024/ConnDivisor)</f>
        <v/>
      </c>
      <c r="G170" s="15">
        <f>C170*CpuTarget</f>
        <v/>
      </c>
    </row>
    <row r="171">
      <c r="A171" s="10" t="inlineStr">
        <is>
          <t>db.m6g.16xlarge</t>
        </is>
      </c>
      <c r="B171" s="46" t="n">
        <v>5.088</v>
      </c>
      <c r="C171" s="10" t="n">
        <v>64</v>
      </c>
      <c r="D171" s="10" t="n">
        <v>256</v>
      </c>
      <c r="E171" s="10" t="inlineStr">
        <is>
          <t>General purpose</t>
        </is>
      </c>
      <c r="F171" s="16">
        <f>MIN(ConnCapMax,D171*1024*1024*1024/ConnDivisor)</f>
        <v/>
      </c>
      <c r="G171" s="15">
        <f>C171*CpuTarget</f>
        <v/>
      </c>
    </row>
    <row r="172">
      <c r="A172" s="10" t="inlineStr">
        <is>
          <t>db.m8a.12xlarge</t>
        </is>
      </c>
      <c r="B172" s="46" t="n">
        <v>5.1576</v>
      </c>
      <c r="C172" s="10" t="n">
        <v>48</v>
      </c>
      <c r="D172" s="10" t="n">
        <v>192</v>
      </c>
      <c r="E172" s="10" t="inlineStr">
        <is>
          <t>General purpose</t>
        </is>
      </c>
      <c r="F172" s="16">
        <f>MIN(ConnCapMax,D172*1024*1024*1024/ConnDivisor)</f>
        <v/>
      </c>
      <c r="G172" s="15">
        <f>C172*CpuTarget</f>
        <v/>
      </c>
    </row>
    <row r="173">
      <c r="A173" s="10" t="inlineStr">
        <is>
          <t>db.x2g.8xlarge</t>
        </is>
      </c>
      <c r="B173" s="46" t="n">
        <v>5.216</v>
      </c>
      <c r="C173" s="10" t="n">
        <v>32</v>
      </c>
      <c r="D173" s="10" t="n">
        <v>512</v>
      </c>
      <c r="E173" s="10" t="inlineStr">
        <is>
          <t>Memory optimized</t>
        </is>
      </c>
      <c r="F173" s="16">
        <f>MIN(ConnCapMax,D173*1024*1024*1024/ConnDivisor)</f>
        <v/>
      </c>
      <c r="G173" s="15">
        <f>C173*CpuTarget</f>
        <v/>
      </c>
    </row>
    <row r="174">
      <c r="A174" s="10" t="inlineStr">
        <is>
          <t>db.m8g.16xlarge</t>
        </is>
      </c>
      <c r="B174" s="46" t="n">
        <v>5.376</v>
      </c>
      <c r="C174" s="10" t="n">
        <v>64</v>
      </c>
      <c r="D174" s="10" t="n">
        <v>384</v>
      </c>
      <c r="E174" s="10" t="inlineStr">
        <is>
          <t>General purpose</t>
        </is>
      </c>
      <c r="F174" s="16">
        <f>MIN(ConnCapMax,D174*1024*1024*1024/ConnDivisor)</f>
        <v/>
      </c>
      <c r="G174" s="15">
        <f>C174*CpuTarget</f>
        <v/>
      </c>
    </row>
    <row r="175">
      <c r="A175" s="10" t="inlineStr">
        <is>
          <t>db.m6id.12xlarge</t>
        </is>
      </c>
      <c r="B175" s="46" t="n">
        <v>5.381</v>
      </c>
      <c r="C175" s="10" t="n">
        <v>48</v>
      </c>
      <c r="D175" s="10" t="n">
        <v>192</v>
      </c>
      <c r="E175" s="10" t="inlineStr">
        <is>
          <t>General purpose</t>
        </is>
      </c>
      <c r="F175" s="16">
        <f>MIN(ConnCapMax,D175*1024*1024*1024/ConnDivisor)</f>
        <v/>
      </c>
      <c r="G175" s="15">
        <f>C175*CpuTarget</f>
        <v/>
      </c>
    </row>
    <row r="176">
      <c r="A176" s="10" t="inlineStr">
        <is>
          <t>db.m7g.16xlarge</t>
        </is>
      </c>
      <c r="B176" s="46" t="n">
        <v>5.392</v>
      </c>
      <c r="C176" s="10" t="n">
        <v>64</v>
      </c>
      <c r="D176" s="10" t="n">
        <v>256</v>
      </c>
      <c r="E176" s="10" t="inlineStr">
        <is>
          <t>General purpose</t>
        </is>
      </c>
      <c r="F176" s="16">
        <f>MIN(ConnCapMax,D176*1024*1024*1024/ConnDivisor)</f>
        <v/>
      </c>
      <c r="G176" s="15">
        <f>C176*CpuTarget</f>
        <v/>
      </c>
    </row>
    <row r="177">
      <c r="A177" s="10" t="inlineStr">
        <is>
          <t>db.r6g.12xlarge</t>
        </is>
      </c>
      <c r="B177" s="46" t="n">
        <v>5.395</v>
      </c>
      <c r="C177" s="10" t="n">
        <v>48</v>
      </c>
      <c r="D177" s="10" t="n">
        <v>384</v>
      </c>
      <c r="E177" s="10" t="inlineStr">
        <is>
          <t>Memory optimized</t>
        </is>
      </c>
      <c r="F177" s="16">
        <f>MIN(ConnCapMax,D177*1024*1024*1024/ConnDivisor)</f>
        <v/>
      </c>
      <c r="G177" s="15">
        <f>C177*CpuTarget</f>
        <v/>
      </c>
    </row>
    <row r="178">
      <c r="A178" s="10" t="inlineStr">
        <is>
          <t>db.r6in.8xlarge</t>
        </is>
      </c>
      <c r="B178" s="46" t="n">
        <v>5.534</v>
      </c>
      <c r="C178" s="10" t="n">
        <v>32</v>
      </c>
      <c r="D178" s="10" t="n">
        <v>256</v>
      </c>
      <c r="E178" s="10" t="inlineStr">
        <is>
          <t>Memory optimized</t>
        </is>
      </c>
      <c r="F178" s="16">
        <f>MIN(ConnCapMax,D178*1024*1024*1024/ConnDivisor)</f>
        <v/>
      </c>
      <c r="G178" s="15">
        <f>C178*CpuTarget</f>
        <v/>
      </c>
    </row>
    <row r="179">
      <c r="A179" s="10" t="inlineStr">
        <is>
          <t>db.m5.16xlarge</t>
        </is>
      </c>
      <c r="B179" s="46" t="n">
        <v>5.696</v>
      </c>
      <c r="C179" s="10" t="n">
        <v>64</v>
      </c>
      <c r="D179" s="10" t="n">
        <v>256</v>
      </c>
      <c r="E179" s="10" t="inlineStr">
        <is>
          <t>General purpose</t>
        </is>
      </c>
      <c r="F179" s="16">
        <f>MIN(ConnCapMax,D179*1024*1024*1024/ConnDivisor)</f>
        <v/>
      </c>
      <c r="G179" s="15">
        <f>C179*CpuTarget</f>
        <v/>
      </c>
    </row>
    <row r="180">
      <c r="A180" s="10" t="inlineStr">
        <is>
          <t>db.m6i.16xlarge</t>
        </is>
      </c>
      <c r="B180" s="46" t="n">
        <v>5.696</v>
      </c>
      <c r="C180" s="10" t="n">
        <v>64</v>
      </c>
      <c r="D180" s="10" t="n">
        <v>256</v>
      </c>
      <c r="E180" s="10" t="inlineStr">
        <is>
          <t>General purpose</t>
        </is>
      </c>
      <c r="F180" s="16">
        <f>MIN(ConnCapMax,D180*1024*1024*1024/ConnDivisor)</f>
        <v/>
      </c>
      <c r="G180" s="15">
        <f>C180*CpuTarget</f>
        <v/>
      </c>
    </row>
    <row r="181">
      <c r="A181" s="10" t="inlineStr">
        <is>
          <t>db.m7i.16xlarge</t>
        </is>
      </c>
      <c r="B181" s="46" t="n">
        <v>5.696</v>
      </c>
      <c r="C181" s="10" t="n">
        <v>64</v>
      </c>
      <c r="D181" s="10" t="n">
        <v>256</v>
      </c>
      <c r="E181" s="10" t="inlineStr">
        <is>
          <t>General purpose</t>
        </is>
      </c>
      <c r="F181" s="16">
        <f>MIN(ConnCapMax,D181*1024*1024*1024/ConnDivisor)</f>
        <v/>
      </c>
      <c r="G181" s="15">
        <f>C181*CpuTarget</f>
        <v/>
      </c>
    </row>
    <row r="182">
      <c r="A182" s="10" t="inlineStr">
        <is>
          <t>db.r8g.12xlarge</t>
        </is>
      </c>
      <c r="B182" s="46" t="n">
        <v>5.736</v>
      </c>
      <c r="C182" s="10" t="n">
        <v>48</v>
      </c>
      <c r="D182" s="10" t="n">
        <v>384</v>
      </c>
      <c r="E182" s="10" t="inlineStr">
        <is>
          <t>Memory optimized</t>
        </is>
      </c>
      <c r="F182" s="16">
        <f>MIN(ConnCapMax,D182*1024*1024*1024/ConnDivisor)</f>
        <v/>
      </c>
      <c r="G182" s="15">
        <f>C182*CpuTarget</f>
        <v/>
      </c>
    </row>
    <row r="183">
      <c r="A183" s="10" t="inlineStr">
        <is>
          <t>db.r7g.12xlarge</t>
        </is>
      </c>
      <c r="B183" s="46" t="n">
        <v>5.738</v>
      </c>
      <c r="C183" s="10" t="n">
        <v>48</v>
      </c>
      <c r="D183" s="10" t="n">
        <v>384</v>
      </c>
      <c r="E183" s="10" t="inlineStr">
        <is>
          <t>Memory optimized</t>
        </is>
      </c>
      <c r="F183" s="16">
        <f>MIN(ConnCapMax,D183*1024*1024*1024/ConnDivisor)</f>
        <v/>
      </c>
      <c r="G183" s="15">
        <f>C183*CpuTarget</f>
        <v/>
      </c>
    </row>
    <row r="184">
      <c r="A184" s="10" t="inlineStr">
        <is>
          <t>db.m9g.16xlarge</t>
        </is>
      </c>
      <c r="B184" s="46" t="n">
        <v>5.86</v>
      </c>
      <c r="C184" s="10" t="n">
        <v>64</v>
      </c>
      <c r="D184" s="10" t="n">
        <v>256</v>
      </c>
      <c r="E184" s="10" t="inlineStr">
        <is>
          <t>General purpose</t>
        </is>
      </c>
      <c r="F184" s="16">
        <f>MIN(ConnCapMax,D184*1024*1024*1024/ConnDivisor)</f>
        <v/>
      </c>
      <c r="G184" s="15">
        <f>C184*CpuTarget</f>
        <v/>
      </c>
    </row>
    <row r="185">
      <c r="A185" s="10" t="inlineStr">
        <is>
          <t>db.m6gd.16xlarge</t>
        </is>
      </c>
      <c r="B185" s="46" t="n">
        <v>5.973</v>
      </c>
      <c r="C185" s="10" t="n">
        <v>64</v>
      </c>
      <c r="D185" s="10" t="n">
        <v>256</v>
      </c>
      <c r="E185" s="10" t="inlineStr">
        <is>
          <t>General purpose</t>
        </is>
      </c>
      <c r="F185" s="16">
        <f>MIN(ConnCapMax,D185*1024*1024*1024/ConnDivisor)</f>
        <v/>
      </c>
      <c r="G185" s="15">
        <f>C185*CpuTarget</f>
        <v/>
      </c>
    </row>
    <row r="186">
      <c r="A186" s="10" t="inlineStr">
        <is>
          <t>db.r5.12xlarge</t>
        </is>
      </c>
      <c r="B186" s="46" t="n">
        <v>6</v>
      </c>
      <c r="C186" s="10" t="n">
        <v>48</v>
      </c>
      <c r="D186" s="10" t="n">
        <v>384</v>
      </c>
      <c r="E186" s="10" t="inlineStr">
        <is>
          <t>Memory optimized</t>
        </is>
      </c>
      <c r="F186" s="16">
        <f>MIN(ConnCapMax,D186*1024*1024*1024/ConnDivisor)</f>
        <v/>
      </c>
      <c r="G186" s="15">
        <f>C186*CpuTarget</f>
        <v/>
      </c>
    </row>
    <row r="187">
      <c r="A187" s="10" t="inlineStr">
        <is>
          <t>db.r6i.12xlarge</t>
        </is>
      </c>
      <c r="B187" s="46" t="n">
        <v>6</v>
      </c>
      <c r="C187" s="10" t="n">
        <v>48</v>
      </c>
      <c r="D187" s="10" t="n">
        <v>384</v>
      </c>
      <c r="E187" s="10" t="inlineStr">
        <is>
          <t>Memory optimized</t>
        </is>
      </c>
      <c r="F187" s="16">
        <f>MIN(ConnCapMax,D187*1024*1024*1024/ConnDivisor)</f>
        <v/>
      </c>
      <c r="G187" s="15">
        <f>C187*CpuTarget</f>
        <v/>
      </c>
    </row>
    <row r="188">
      <c r="A188" s="10" t="inlineStr">
        <is>
          <t>db.r7i.12xlarge</t>
        </is>
      </c>
      <c r="B188" s="46" t="n">
        <v>6</v>
      </c>
      <c r="C188" s="10" t="n">
        <v>48</v>
      </c>
      <c r="D188" s="10" t="n">
        <v>384</v>
      </c>
      <c r="E188" s="10" t="inlineStr">
        <is>
          <t>Memory optimized</t>
        </is>
      </c>
      <c r="F188" s="16">
        <f>MIN(ConnCapMax,D188*1024*1024*1024/ConnDivisor)</f>
        <v/>
      </c>
      <c r="G188" s="15">
        <f>C188*CpuTarget</f>
        <v/>
      </c>
    </row>
    <row r="189">
      <c r="A189" s="10" t="inlineStr">
        <is>
          <t>db.r6gd.12xlarge</t>
        </is>
      </c>
      <c r="B189" s="46" t="n">
        <v>6.171</v>
      </c>
      <c r="C189" s="10" t="n">
        <v>48</v>
      </c>
      <c r="D189" s="10" t="n">
        <v>384</v>
      </c>
      <c r="E189" s="10" t="inlineStr">
        <is>
          <t>Memory optimized</t>
        </is>
      </c>
      <c r="F189" s="16">
        <f>MIN(ConnCapMax,D189*1024*1024*1024/ConnDivisor)</f>
        <v/>
      </c>
      <c r="G189" s="15">
        <f>C189*CpuTarget</f>
        <v/>
      </c>
    </row>
    <row r="190">
      <c r="A190" s="10" t="inlineStr">
        <is>
          <t>db.m6in.12xlarge</t>
        </is>
      </c>
      <c r="B190" s="46" t="n">
        <v>6.197</v>
      </c>
      <c r="C190" s="10" t="n">
        <v>48</v>
      </c>
      <c r="D190" s="10" t="n">
        <v>192</v>
      </c>
      <c r="E190" s="10" t="inlineStr">
        <is>
          <t>General purpose</t>
        </is>
      </c>
      <c r="F190" s="16">
        <f>MIN(ConnCapMax,D190*1024*1024*1024/ConnDivisor)</f>
        <v/>
      </c>
      <c r="G190" s="15">
        <f>C190*CpuTarget</f>
        <v/>
      </c>
    </row>
    <row r="191">
      <c r="A191" s="10" t="inlineStr">
        <is>
          <t>db.r6idn.8xlarge</t>
        </is>
      </c>
      <c r="B191" s="46" t="n">
        <v>6.203</v>
      </c>
      <c r="C191" s="10" t="n">
        <v>32</v>
      </c>
      <c r="D191" s="10" t="n">
        <v>256</v>
      </c>
      <c r="E191" s="10" t="inlineStr">
        <is>
          <t>Memory optimized</t>
        </is>
      </c>
      <c r="F191" s="16">
        <f>MIN(ConnCapMax,D191*1024*1024*1024/ConnDivisor)</f>
        <v/>
      </c>
      <c r="G191" s="15">
        <f>C191*CpuTarget</f>
        <v/>
      </c>
    </row>
    <row r="192">
      <c r="A192" s="10" t="inlineStr">
        <is>
          <t>db.m8gd.16xlarge</t>
        </is>
      </c>
      <c r="B192" s="46" t="n">
        <v>6.3232</v>
      </c>
      <c r="C192" s="10" t="n">
        <v>64</v>
      </c>
      <c r="D192" s="10" t="n">
        <v>256</v>
      </c>
      <c r="E192" s="10" t="inlineStr">
        <is>
          <t>Memory optimized</t>
        </is>
      </c>
      <c r="F192" s="16">
        <f>MIN(ConnCapMax,D192*1024*1024*1024/ConnDivisor)</f>
        <v/>
      </c>
      <c r="G192" s="15">
        <f>C192*CpuTarget</f>
        <v/>
      </c>
    </row>
    <row r="193">
      <c r="A193" s="10" t="inlineStr">
        <is>
          <t>db.r8gd.12xlarge</t>
        </is>
      </c>
      <c r="B193" s="46" t="n">
        <v>6.552</v>
      </c>
      <c r="C193" s="10" t="n">
        <v>48</v>
      </c>
      <c r="D193" s="10" t="n">
        <v>384</v>
      </c>
      <c r="E193" s="10" t="inlineStr">
        <is>
          <t>Memory optimized</t>
        </is>
      </c>
      <c r="F193" s="16">
        <f>MIN(ConnCapMax,D193*1024*1024*1024/ConnDivisor)</f>
        <v/>
      </c>
      <c r="G193" s="15">
        <f>C193*CpuTarget</f>
        <v/>
      </c>
    </row>
    <row r="194">
      <c r="A194" s="10" t="inlineStr">
        <is>
          <t>db.m5d.16xlarge</t>
        </is>
      </c>
      <c r="B194" s="46" t="n">
        <v>6.705</v>
      </c>
      <c r="C194" s="10" t="n">
        <v>64</v>
      </c>
      <c r="D194" s="10" t="n">
        <v>256</v>
      </c>
      <c r="E194" s="10" t="inlineStr">
        <is>
          <t>General purpose</t>
        </is>
      </c>
      <c r="F194" s="16">
        <f>MIN(ConnCapMax,D194*1024*1024*1024/ConnDivisor)</f>
        <v/>
      </c>
      <c r="G194" s="15">
        <f>C194*CpuTarget</f>
        <v/>
      </c>
    </row>
    <row r="195">
      <c r="A195" s="10" t="inlineStr">
        <is>
          <t>db.r5d.12xlarge</t>
        </is>
      </c>
      <c r="B195" s="46" t="n">
        <v>6.857</v>
      </c>
      <c r="C195" s="10" t="n">
        <v>48</v>
      </c>
      <c r="D195" s="10" t="n">
        <v>384</v>
      </c>
      <c r="E195" s="10" t="inlineStr">
        <is>
          <t>Memory optimized</t>
        </is>
      </c>
      <c r="F195" s="16">
        <f>MIN(ConnCapMax,D195*1024*1024*1024/ConnDivisor)</f>
        <v/>
      </c>
      <c r="G195" s="15">
        <f>C195*CpuTarget</f>
        <v/>
      </c>
    </row>
    <row r="196">
      <c r="A196" s="10" t="inlineStr">
        <is>
          <t>db.m8a.16xlarge</t>
        </is>
      </c>
      <c r="B196" s="46" t="n">
        <v>6.8768</v>
      </c>
      <c r="C196" s="10" t="n">
        <v>64</v>
      </c>
      <c r="D196" s="10" t="n">
        <v>256</v>
      </c>
      <c r="E196" s="10" t="inlineStr">
        <is>
          <t>General purpose</t>
        </is>
      </c>
      <c r="F196" s="16">
        <f>MIN(ConnCapMax,D196*1024*1024*1024/ConnDivisor)</f>
        <v/>
      </c>
      <c r="G196" s="15">
        <f>C196*CpuTarget</f>
        <v/>
      </c>
    </row>
    <row r="197">
      <c r="A197" s="10" t="inlineStr">
        <is>
          <t>db.m6idn.12xlarge</t>
        </is>
      </c>
      <c r="B197" s="46" t="n">
        <v>7.08</v>
      </c>
      <c r="C197" s="10" t="n">
        <v>48</v>
      </c>
      <c r="D197" s="10" t="n">
        <v>192</v>
      </c>
      <c r="E197" s="10" t="inlineStr">
        <is>
          <t>General purpose</t>
        </is>
      </c>
      <c r="F197" s="16">
        <f>MIN(ConnCapMax,D197*1024*1024*1024/ConnDivisor)</f>
        <v/>
      </c>
      <c r="G197" s="15">
        <f>C197*CpuTarget</f>
        <v/>
      </c>
    </row>
    <row r="198">
      <c r="A198" s="10" t="inlineStr">
        <is>
          <t>db.r5b.12xlarge</t>
        </is>
      </c>
      <c r="B198" s="46" t="n">
        <v>7.104</v>
      </c>
      <c r="C198" s="10" t="n">
        <v>48</v>
      </c>
      <c r="D198" s="10" t="n">
        <v>384</v>
      </c>
      <c r="E198" s="10" t="inlineStr">
        <is>
          <t>Memory optimized</t>
        </is>
      </c>
      <c r="F198" s="16">
        <f>MIN(ConnCapMax,D198*1024*1024*1024/ConnDivisor)</f>
        <v/>
      </c>
      <c r="G198" s="15">
        <f>C198*CpuTarget</f>
        <v/>
      </c>
    </row>
    <row r="199">
      <c r="A199" s="10" t="inlineStr">
        <is>
          <t>db.r6id.12xlarge</t>
        </is>
      </c>
      <c r="B199" s="46" t="n">
        <v>7.157</v>
      </c>
      <c r="C199" s="10" t="n">
        <v>48</v>
      </c>
      <c r="D199" s="10" t="n">
        <v>384</v>
      </c>
      <c r="E199" s="10" t="inlineStr">
        <is>
          <t>Memory optimized</t>
        </is>
      </c>
      <c r="F199" s="16">
        <f>MIN(ConnCapMax,D199*1024*1024*1024/ConnDivisor)</f>
        <v/>
      </c>
      <c r="G199" s="15">
        <f>C199*CpuTarget</f>
        <v/>
      </c>
    </row>
    <row r="200">
      <c r="A200" s="10" t="inlineStr">
        <is>
          <t>db.m6id.16xlarge</t>
        </is>
      </c>
      <c r="B200" s="46" t="n">
        <v>7.174</v>
      </c>
      <c r="C200" s="10" t="n">
        <v>64</v>
      </c>
      <c r="D200" s="10" t="n">
        <v>256</v>
      </c>
      <c r="E200" s="10" t="inlineStr">
        <is>
          <t>General purpose</t>
        </is>
      </c>
      <c r="F200" s="16">
        <f>MIN(ConnCapMax,D200*1024*1024*1024/ConnDivisor)</f>
        <v/>
      </c>
      <c r="G200" s="15">
        <f>C200*CpuTarget</f>
        <v/>
      </c>
    </row>
    <row r="201">
      <c r="A201" s="10" t="inlineStr">
        <is>
          <t>db.r6g.16xlarge</t>
        </is>
      </c>
      <c r="B201" s="46" t="n">
        <v>7.194</v>
      </c>
      <c r="C201" s="10" t="n">
        <v>64</v>
      </c>
      <c r="D201" s="10" t="n">
        <v>512</v>
      </c>
      <c r="E201" s="10" t="inlineStr">
        <is>
          <t>Memory optimized</t>
        </is>
      </c>
      <c r="F201" s="16">
        <f>MIN(ConnCapMax,D201*1024*1024*1024/ConnDivisor)</f>
        <v/>
      </c>
      <c r="G201" s="15">
        <f>C201*CpuTarget</f>
        <v/>
      </c>
    </row>
    <row r="202">
      <c r="A202" s="10" t="inlineStr">
        <is>
          <t>db.r8a.12xlarge</t>
        </is>
      </c>
      <c r="B202" s="46" t="n">
        <v>7.2456</v>
      </c>
      <c r="C202" s="10" t="n">
        <v>48</v>
      </c>
      <c r="D202" s="10" t="n">
        <v>384</v>
      </c>
      <c r="E202" s="10" t="inlineStr">
        <is>
          <t>Memory optimized</t>
        </is>
      </c>
      <c r="F202" s="16">
        <f>MIN(ConnCapMax,D202*1024*1024*1024/ConnDivisor)</f>
        <v/>
      </c>
      <c r="G202" s="15">
        <f>C202*CpuTarget</f>
        <v/>
      </c>
    </row>
    <row r="203">
      <c r="A203" s="10" t="inlineStr">
        <is>
          <t>db.x2iedn.4xlarge</t>
        </is>
      </c>
      <c r="B203" s="46" t="n">
        <v>7.608</v>
      </c>
      <c r="C203" s="10" t="n">
        <v>16</v>
      </c>
      <c r="D203" s="10" t="n">
        <v>512</v>
      </c>
      <c r="E203" s="10" t="inlineStr">
        <is>
          <t>Memory optimized</t>
        </is>
      </c>
      <c r="F203" s="16">
        <f>MIN(ConnCapMax,D203*1024*1024*1024/ConnDivisor)</f>
        <v/>
      </c>
      <c r="G203" s="15">
        <f>C203*CpuTarget</f>
        <v/>
      </c>
    </row>
    <row r="204">
      <c r="A204" s="10" t="inlineStr">
        <is>
          <t>db.r8g.16xlarge</t>
        </is>
      </c>
      <c r="B204" s="46" t="n">
        <v>7.648</v>
      </c>
      <c r="C204" s="10" t="n">
        <v>64</v>
      </c>
      <c r="D204" s="10" t="n">
        <v>512</v>
      </c>
      <c r="E204" s="10" t="inlineStr">
        <is>
          <t>Memory optimized</t>
        </is>
      </c>
      <c r="F204" s="16">
        <f>MIN(ConnCapMax,D204*1024*1024*1024/ConnDivisor)</f>
        <v/>
      </c>
      <c r="G204" s="15">
        <f>C204*CpuTarget</f>
        <v/>
      </c>
    </row>
    <row r="205">
      <c r="A205" s="10" t="inlineStr">
        <is>
          <t>db.r7g.16xlarge</t>
        </is>
      </c>
      <c r="B205" s="46" t="n">
        <v>7.65</v>
      </c>
      <c r="C205" s="10" t="n">
        <v>64</v>
      </c>
      <c r="D205" s="10" t="n">
        <v>512</v>
      </c>
      <c r="E205" s="10" t="inlineStr">
        <is>
          <t>Memory optimized</t>
        </is>
      </c>
      <c r="F205" s="16">
        <f>MIN(ConnCapMax,D205*1024*1024*1024/ConnDivisor)</f>
        <v/>
      </c>
      <c r="G205" s="15">
        <f>C205*CpuTarget</f>
        <v/>
      </c>
    </row>
    <row r="206">
      <c r="A206" s="10" t="inlineStr">
        <is>
          <t>db.x2g.12xlarge</t>
        </is>
      </c>
      <c r="B206" s="46" t="n">
        <v>7.824</v>
      </c>
      <c r="C206" s="10" t="n">
        <v>48</v>
      </c>
      <c r="D206" s="10" t="n">
        <v>768</v>
      </c>
      <c r="E206" s="10" t="inlineStr">
        <is>
          <t>Memory optimized</t>
        </is>
      </c>
      <c r="F206" s="16">
        <f>MIN(ConnCapMax,D206*1024*1024*1024/ConnDivisor)</f>
        <v/>
      </c>
      <c r="G206" s="15">
        <f>C206*CpuTarget</f>
        <v/>
      </c>
    </row>
    <row r="207">
      <c r="A207" s="10" t="inlineStr">
        <is>
          <t>db.r5.16xlarge</t>
        </is>
      </c>
      <c r="B207" s="46" t="n">
        <v>8</v>
      </c>
      <c r="C207" s="10" t="n">
        <v>64</v>
      </c>
      <c r="D207" s="10" t="n">
        <v>512</v>
      </c>
      <c r="E207" s="10" t="inlineStr">
        <is>
          <t>Memory optimized</t>
        </is>
      </c>
      <c r="F207" s="16">
        <f>MIN(ConnCapMax,D207*1024*1024*1024/ConnDivisor)</f>
        <v/>
      </c>
      <c r="G207" s="15">
        <f>C207*CpuTarget</f>
        <v/>
      </c>
    </row>
    <row r="208">
      <c r="A208" s="10" t="inlineStr">
        <is>
          <t>db.r6i.16xlarge</t>
        </is>
      </c>
      <c r="B208" s="46" t="n">
        <v>8</v>
      </c>
      <c r="C208" s="10" t="n">
        <v>64</v>
      </c>
      <c r="D208" s="10" t="n">
        <v>512</v>
      </c>
      <c r="E208" s="10" t="inlineStr">
        <is>
          <t>Memory optimized</t>
        </is>
      </c>
      <c r="F208" s="16">
        <f>MIN(ConnCapMax,D208*1024*1024*1024/ConnDivisor)</f>
        <v/>
      </c>
      <c r="G208" s="15">
        <f>C208*CpuTarget</f>
        <v/>
      </c>
    </row>
    <row r="209">
      <c r="A209" s="10" t="inlineStr">
        <is>
          <t>db.r7i.16xlarge</t>
        </is>
      </c>
      <c r="B209" s="46" t="n">
        <v>8</v>
      </c>
      <c r="C209" s="10" t="n">
        <v>64</v>
      </c>
      <c r="D209" s="10" t="n">
        <v>512</v>
      </c>
      <c r="E209" s="10" t="inlineStr">
        <is>
          <t>Memory optimized</t>
        </is>
      </c>
      <c r="F209" s="16">
        <f>MIN(ConnCapMax,D209*1024*1024*1024/ConnDivisor)</f>
        <v/>
      </c>
      <c r="G209" s="15">
        <f>C209*CpuTarget</f>
        <v/>
      </c>
    </row>
    <row r="210">
      <c r="A210" s="10" t="inlineStr">
        <is>
          <t>db.m8g.24xlarge</t>
        </is>
      </c>
      <c r="B210" s="46" t="n">
        <v>8.064</v>
      </c>
      <c r="C210" s="10" t="n">
        <v>96</v>
      </c>
      <c r="D210" s="10" t="n">
        <v>512</v>
      </c>
      <c r="E210" s="10" t="inlineStr">
        <is>
          <t>General purpose</t>
        </is>
      </c>
      <c r="F210" s="16">
        <f>MIN(ConnCapMax,D210*1024*1024*1024/ConnDivisor)</f>
        <v/>
      </c>
      <c r="G210" s="15">
        <f>C210*CpuTarget</f>
        <v/>
      </c>
    </row>
    <row r="211">
      <c r="A211" s="10" t="inlineStr">
        <is>
          <t>db.r6gd.16xlarge</t>
        </is>
      </c>
      <c r="B211" s="46" t="n">
        <v>8.228999999999999</v>
      </c>
      <c r="C211" s="10" t="n">
        <v>64</v>
      </c>
      <c r="D211" s="10" t="n">
        <v>512</v>
      </c>
      <c r="E211" s="10" t="inlineStr">
        <is>
          <t>Memory optimized</t>
        </is>
      </c>
      <c r="F211" s="16">
        <f>MIN(ConnCapMax,D211*1024*1024*1024/ConnDivisor)</f>
        <v/>
      </c>
      <c r="G211" s="15">
        <f>C211*CpuTarget</f>
        <v/>
      </c>
    </row>
    <row r="212">
      <c r="A212" s="10" t="inlineStr">
        <is>
          <t>db.m6in.16xlarge</t>
        </is>
      </c>
      <c r="B212" s="46" t="n">
        <v>8.262</v>
      </c>
      <c r="C212" s="10" t="n">
        <v>64</v>
      </c>
      <c r="D212" s="10" t="n">
        <v>256</v>
      </c>
      <c r="E212" s="10" t="inlineStr">
        <is>
          <t>General purpose</t>
        </is>
      </c>
      <c r="F212" s="16">
        <f>MIN(ConnCapMax,D212*1024*1024*1024/ConnDivisor)</f>
        <v/>
      </c>
      <c r="G212" s="15">
        <f>C212*CpuTarget</f>
        <v/>
      </c>
    </row>
    <row r="213">
      <c r="A213" s="10" t="inlineStr">
        <is>
          <t>db.r6in.12xlarge</t>
        </is>
      </c>
      <c r="B213" s="46" t="n">
        <v>8.302</v>
      </c>
      <c r="C213" s="10" t="n">
        <v>48</v>
      </c>
      <c r="D213" s="10" t="n">
        <v>384</v>
      </c>
      <c r="E213" s="10" t="inlineStr">
        <is>
          <t>Memory optimized</t>
        </is>
      </c>
      <c r="F213" s="16">
        <f>MIN(ConnCapMax,D213*1024*1024*1024/ConnDivisor)</f>
        <v/>
      </c>
      <c r="G213" s="15">
        <f>C213*CpuTarget</f>
        <v/>
      </c>
    </row>
    <row r="214">
      <c r="A214" s="10" t="inlineStr">
        <is>
          <t>db.m5.24xlarge</t>
        </is>
      </c>
      <c r="B214" s="46" t="n">
        <v>8.544</v>
      </c>
      <c r="C214" s="10" t="n">
        <v>96</v>
      </c>
      <c r="D214" s="10" t="n">
        <v>384</v>
      </c>
      <c r="E214" s="10" t="inlineStr">
        <is>
          <t>General purpose</t>
        </is>
      </c>
      <c r="F214" s="16">
        <f>MIN(ConnCapMax,D214*1024*1024*1024/ConnDivisor)</f>
        <v/>
      </c>
      <c r="G214" s="15">
        <f>C214*CpuTarget</f>
        <v/>
      </c>
    </row>
    <row r="215">
      <c r="A215" s="10" t="inlineStr">
        <is>
          <t>db.m6i.24xlarge</t>
        </is>
      </c>
      <c r="B215" s="46" t="n">
        <v>8.544</v>
      </c>
      <c r="C215" s="10" t="n">
        <v>96</v>
      </c>
      <c r="D215" s="10" t="n">
        <v>384</v>
      </c>
      <c r="E215" s="10" t="inlineStr">
        <is>
          <t>General purpose</t>
        </is>
      </c>
      <c r="F215" s="16">
        <f>MIN(ConnCapMax,D215*1024*1024*1024/ConnDivisor)</f>
        <v/>
      </c>
      <c r="G215" s="15">
        <f>C215*CpuTarget</f>
        <v/>
      </c>
    </row>
    <row r="216">
      <c r="A216" s="10" t="inlineStr">
        <is>
          <t>db.m7i.24xlarge</t>
        </is>
      </c>
      <c r="B216" s="46" t="n">
        <v>8.544</v>
      </c>
      <c r="C216" s="10" t="n">
        <v>96</v>
      </c>
      <c r="D216" s="10" t="n">
        <v>384</v>
      </c>
      <c r="E216" s="10" t="inlineStr">
        <is>
          <t>General purpose</t>
        </is>
      </c>
      <c r="F216" s="16">
        <f>MIN(ConnCapMax,D216*1024*1024*1024/ConnDivisor)</f>
        <v/>
      </c>
      <c r="G216" s="15">
        <f>C216*CpuTarget</f>
        <v/>
      </c>
    </row>
    <row r="217">
      <c r="A217" s="10" t="inlineStr">
        <is>
          <t>db.r8gd.16xlarge</t>
        </is>
      </c>
      <c r="B217" s="46" t="n">
        <v>8.736000000000001</v>
      </c>
      <c r="C217" s="10" t="n">
        <v>64</v>
      </c>
      <c r="D217" s="10" t="n">
        <v>512</v>
      </c>
      <c r="E217" s="10" t="inlineStr">
        <is>
          <t>Memory optimized</t>
        </is>
      </c>
      <c r="F217" s="16">
        <f>MIN(ConnCapMax,D217*1024*1024*1024/ConnDivisor)</f>
        <v/>
      </c>
      <c r="G217" s="15">
        <f>C217*CpuTarget</f>
        <v/>
      </c>
    </row>
    <row r="218">
      <c r="A218" s="10" t="inlineStr">
        <is>
          <t>db.m9g.24xlarge</t>
        </is>
      </c>
      <c r="B218" s="46" t="n">
        <v>8.789999999999999</v>
      </c>
      <c r="C218" s="10" t="n">
        <v>96</v>
      </c>
      <c r="D218" s="10" t="n">
        <v>384</v>
      </c>
      <c r="E218" s="10" t="inlineStr">
        <is>
          <t>General purpose</t>
        </is>
      </c>
      <c r="F218" s="16">
        <f>MIN(ConnCapMax,D218*1024*1024*1024/ConnDivisor)</f>
        <v/>
      </c>
      <c r="G218" s="15">
        <f>C218*CpuTarget</f>
        <v/>
      </c>
    </row>
    <row r="219">
      <c r="A219" s="10" t="inlineStr">
        <is>
          <t>db.r5d.16xlarge</t>
        </is>
      </c>
      <c r="B219" s="46" t="n">
        <v>9.143000000000001</v>
      </c>
      <c r="C219" s="10" t="n">
        <v>64</v>
      </c>
      <c r="D219" s="10" t="n">
        <v>512</v>
      </c>
      <c r="E219" s="10" t="inlineStr">
        <is>
          <t>Memory optimized</t>
        </is>
      </c>
      <c r="F219" s="16">
        <f>MIN(ConnCapMax,D219*1024*1024*1024/ConnDivisor)</f>
        <v/>
      </c>
      <c r="G219" s="15">
        <f>C219*CpuTarget</f>
        <v/>
      </c>
    </row>
    <row r="220">
      <c r="A220" s="10" t="inlineStr">
        <is>
          <t>db.r6idn.12xlarge</t>
        </is>
      </c>
      <c r="B220" s="46" t="n">
        <v>9.304</v>
      </c>
      <c r="C220" s="10" t="n">
        <v>48</v>
      </c>
      <c r="D220" s="10" t="n">
        <v>384</v>
      </c>
      <c r="E220" s="10" t="inlineStr">
        <is>
          <t>Memory optimized</t>
        </is>
      </c>
      <c r="F220" s="16">
        <f>MIN(ConnCapMax,D220*1024*1024*1024/ConnDivisor)</f>
        <v/>
      </c>
      <c r="G220" s="15">
        <f>C220*CpuTarget</f>
        <v/>
      </c>
    </row>
    <row r="221">
      <c r="A221" s="10" t="inlineStr">
        <is>
          <t>db.m6idn.16xlarge</t>
        </is>
      </c>
      <c r="B221" s="46" t="n">
        <v>9.44</v>
      </c>
      <c r="C221" s="10" t="n">
        <v>64</v>
      </c>
      <c r="D221" s="10" t="n">
        <v>256</v>
      </c>
      <c r="E221" s="10" t="inlineStr">
        <is>
          <t>General purpose</t>
        </is>
      </c>
      <c r="F221" s="16">
        <f>MIN(ConnCapMax,D221*1024*1024*1024/ConnDivisor)</f>
        <v/>
      </c>
      <c r="G221" s="15">
        <f>C221*CpuTarget</f>
        <v/>
      </c>
    </row>
    <row r="222">
      <c r="A222" s="10" t="inlineStr">
        <is>
          <t>db.r5b.16xlarge</t>
        </is>
      </c>
      <c r="B222" s="46" t="n">
        <v>9.472</v>
      </c>
      <c r="C222" s="10" t="n">
        <v>64</v>
      </c>
      <c r="D222" s="10" t="n">
        <v>512</v>
      </c>
      <c r="E222" s="10" t="inlineStr">
        <is>
          <t>Memory optimized</t>
        </is>
      </c>
      <c r="F222" s="16">
        <f>MIN(ConnCapMax,D222*1024*1024*1024/ConnDivisor)</f>
        <v/>
      </c>
      <c r="G222" s="15">
        <f>C222*CpuTarget</f>
        <v/>
      </c>
    </row>
    <row r="223">
      <c r="A223" s="10" t="inlineStr">
        <is>
          <t>db.m8gd.24xlarge</t>
        </is>
      </c>
      <c r="B223" s="46" t="n">
        <v>9.4848</v>
      </c>
      <c r="C223" s="10" t="n">
        <v>96</v>
      </c>
      <c r="D223" s="10" t="n">
        <v>384</v>
      </c>
      <c r="E223" s="10" t="inlineStr">
        <is>
          <t>Memory optimized</t>
        </is>
      </c>
      <c r="F223" s="16">
        <f>MIN(ConnCapMax,D223*1024*1024*1024/ConnDivisor)</f>
        <v/>
      </c>
      <c r="G223" s="15">
        <f>C223*CpuTarget</f>
        <v/>
      </c>
    </row>
    <row r="224">
      <c r="A224" s="10" t="inlineStr">
        <is>
          <t>db.r6id.16xlarge</t>
        </is>
      </c>
      <c r="B224" s="46" t="n">
        <v>9.542999999999999</v>
      </c>
      <c r="C224" s="10" t="n">
        <v>64</v>
      </c>
      <c r="D224" s="10" t="n">
        <v>512</v>
      </c>
      <c r="E224" s="10" t="inlineStr">
        <is>
          <t>Memory optimized</t>
        </is>
      </c>
      <c r="F224" s="16">
        <f>MIN(ConnCapMax,D224*1024*1024*1024/ConnDivisor)</f>
        <v/>
      </c>
      <c r="G224" s="15">
        <f>C224*CpuTarget</f>
        <v/>
      </c>
    </row>
    <row r="225">
      <c r="A225" s="10" t="inlineStr">
        <is>
          <t>db.r8a.16xlarge</t>
        </is>
      </c>
      <c r="B225" s="46" t="n">
        <v>9.6608</v>
      </c>
      <c r="C225" s="10" t="n">
        <v>64</v>
      </c>
      <c r="D225" s="10" t="n">
        <v>512</v>
      </c>
      <c r="E225" s="10" t="inlineStr">
        <is>
          <t>Memory optimized</t>
        </is>
      </c>
      <c r="F225" s="16">
        <f>MIN(ConnCapMax,D225*1024*1024*1024/ConnDivisor)</f>
        <v/>
      </c>
      <c r="G225" s="15">
        <f>C225*CpuTarget</f>
        <v/>
      </c>
    </row>
    <row r="226">
      <c r="A226" s="10" t="inlineStr">
        <is>
          <t>db.m5d.24xlarge</t>
        </is>
      </c>
      <c r="B226" s="46" t="n">
        <v>10.057</v>
      </c>
      <c r="C226" s="10" t="n">
        <v>96</v>
      </c>
      <c r="D226" s="10" t="n">
        <v>384</v>
      </c>
      <c r="E226" s="10" t="inlineStr">
        <is>
          <t>General purpose</t>
        </is>
      </c>
      <c r="F226" s="16">
        <f>MIN(ConnCapMax,D226*1024*1024*1024/ConnDivisor)</f>
        <v/>
      </c>
      <c r="G226" s="15">
        <f>C226*CpuTarget</f>
        <v/>
      </c>
    </row>
    <row r="227">
      <c r="A227" s="10" t="inlineStr">
        <is>
          <t>db.m8a.24xlarge</t>
        </is>
      </c>
      <c r="B227" s="46" t="n">
        <v>10.3152</v>
      </c>
      <c r="C227" s="10" t="n">
        <v>96</v>
      </c>
      <c r="D227" s="10" t="n">
        <v>384</v>
      </c>
      <c r="E227" s="10" t="inlineStr">
        <is>
          <t>General purpose</t>
        </is>
      </c>
      <c r="F227" s="16">
        <f>MIN(ConnCapMax,D227*1024*1024*1024/ConnDivisor)</f>
        <v/>
      </c>
      <c r="G227" s="15">
        <f>C227*CpuTarget</f>
        <v/>
      </c>
    </row>
    <row r="228">
      <c r="A228" s="10" t="inlineStr">
        <is>
          <t>db.x2g.16xlarge</t>
        </is>
      </c>
      <c r="B228" s="46" t="n">
        <v>10.432</v>
      </c>
      <c r="C228" s="10" t="n">
        <v>64</v>
      </c>
      <c r="D228" s="10" t="n">
        <v>1024</v>
      </c>
      <c r="E228" s="10" t="inlineStr">
        <is>
          <t>Memory optimized</t>
        </is>
      </c>
      <c r="F228" s="16">
        <f>MIN(ConnCapMax,D228*1024*1024*1024/ConnDivisor)</f>
        <v/>
      </c>
      <c r="G228" s="15">
        <f>C228*CpuTarget</f>
        <v/>
      </c>
    </row>
    <row r="229">
      <c r="A229" s="10" t="inlineStr">
        <is>
          <t>db.m6id.24xlarge</t>
        </is>
      </c>
      <c r="B229" s="46" t="n">
        <v>10.761</v>
      </c>
      <c r="C229" s="10" t="n">
        <v>96</v>
      </c>
      <c r="D229" s="10" t="n">
        <v>384</v>
      </c>
      <c r="E229" s="10" t="inlineStr">
        <is>
          <t>General purpose</t>
        </is>
      </c>
      <c r="F229" s="16">
        <f>MIN(ConnCapMax,D229*1024*1024*1024/ConnDivisor)</f>
        <v/>
      </c>
      <c r="G229" s="15">
        <f>C229*CpuTarget</f>
        <v/>
      </c>
    </row>
    <row r="230">
      <c r="A230" s="10" t="inlineStr">
        <is>
          <t>db.r6in.16xlarge</t>
        </is>
      </c>
      <c r="B230" s="46" t="n">
        <v>11.069</v>
      </c>
      <c r="C230" s="10" t="n">
        <v>64</v>
      </c>
      <c r="D230" s="10" t="n">
        <v>512</v>
      </c>
      <c r="E230" s="10" t="inlineStr">
        <is>
          <t>Memory optimized</t>
        </is>
      </c>
      <c r="F230" s="16">
        <f>MIN(ConnCapMax,D230*1024*1024*1024/ConnDivisor)</f>
        <v/>
      </c>
      <c r="G230" s="15">
        <f>C230*CpuTarget</f>
        <v/>
      </c>
    </row>
    <row r="231">
      <c r="A231" s="10" t="inlineStr">
        <is>
          <t>db.m6i.32xlarge</t>
        </is>
      </c>
      <c r="B231" s="46" t="n">
        <v>11.392</v>
      </c>
      <c r="C231" s="10" t="n">
        <v>128</v>
      </c>
      <c r="D231" s="10" t="n">
        <v>512</v>
      </c>
      <c r="E231" s="10" t="inlineStr">
        <is>
          <t>General purpose</t>
        </is>
      </c>
      <c r="F231" s="16">
        <f>MIN(ConnCapMax,D231*1024*1024*1024/ConnDivisor)</f>
        <v/>
      </c>
      <c r="G231" s="15">
        <f>C231*CpuTarget</f>
        <v/>
      </c>
    </row>
    <row r="232">
      <c r="A232" s="10" t="inlineStr">
        <is>
          <t>db.r8g.24xlarge</t>
        </is>
      </c>
      <c r="B232" s="46" t="n">
        <v>11.472</v>
      </c>
      <c r="C232" s="10" t="n">
        <v>96</v>
      </c>
      <c r="D232" s="10" t="n">
        <v>768</v>
      </c>
      <c r="E232" s="10" t="inlineStr">
        <is>
          <t>Memory optimized</t>
        </is>
      </c>
      <c r="F232" s="16">
        <f>MIN(ConnCapMax,D232*1024*1024*1024/ConnDivisor)</f>
        <v/>
      </c>
      <c r="G232" s="15">
        <f>C232*CpuTarget</f>
        <v/>
      </c>
    </row>
    <row r="233">
      <c r="A233" s="10" t="inlineStr">
        <is>
          <t>db.r5.24xlarge</t>
        </is>
      </c>
      <c r="B233" s="46" t="n">
        <v>12</v>
      </c>
      <c r="C233" s="10" t="n">
        <v>96</v>
      </c>
      <c r="D233" s="10" t="n">
        <v>768</v>
      </c>
      <c r="E233" s="10" t="inlineStr">
        <is>
          <t>Memory optimized</t>
        </is>
      </c>
      <c r="F233" s="16">
        <f>MIN(ConnCapMax,D233*1024*1024*1024/ConnDivisor)</f>
        <v/>
      </c>
      <c r="G233" s="15">
        <f>C233*CpuTarget</f>
        <v/>
      </c>
    </row>
    <row r="234">
      <c r="A234" s="10" t="inlineStr">
        <is>
          <t>db.r6i.24xlarge</t>
        </is>
      </c>
      <c r="B234" s="46" t="n">
        <v>12</v>
      </c>
      <c r="C234" s="10" t="n">
        <v>96</v>
      </c>
      <c r="D234" s="10" t="n">
        <v>768</v>
      </c>
      <c r="E234" s="10" t="inlineStr">
        <is>
          <t>Memory optimized</t>
        </is>
      </c>
      <c r="F234" s="16">
        <f>MIN(ConnCapMax,D234*1024*1024*1024/ConnDivisor)</f>
        <v/>
      </c>
      <c r="G234" s="15">
        <f>C234*CpuTarget</f>
        <v/>
      </c>
    </row>
    <row r="235">
      <c r="A235" s="10" t="inlineStr">
        <is>
          <t>db.r7i.24xlarge</t>
        </is>
      </c>
      <c r="B235" s="46" t="n">
        <v>12</v>
      </c>
      <c r="C235" s="10" t="n">
        <v>96</v>
      </c>
      <c r="D235" s="10" t="n">
        <v>768</v>
      </c>
      <c r="E235" s="10" t="inlineStr">
        <is>
          <t>Memory optimized</t>
        </is>
      </c>
      <c r="F235" s="16">
        <f>MIN(ConnCapMax,D235*1024*1024*1024/ConnDivisor)</f>
        <v/>
      </c>
      <c r="G235" s="15">
        <f>C235*CpuTarget</f>
        <v/>
      </c>
    </row>
    <row r="236">
      <c r="A236" s="10" t="inlineStr">
        <is>
          <t>db.m6in.24xlarge</t>
        </is>
      </c>
      <c r="B236" s="46" t="n">
        <v>12.394</v>
      </c>
      <c r="C236" s="10" t="n">
        <v>96</v>
      </c>
      <c r="D236" s="10" t="n">
        <v>384</v>
      </c>
      <c r="E236" s="10" t="inlineStr">
        <is>
          <t>General purpose</t>
        </is>
      </c>
      <c r="F236" s="16">
        <f>MIN(ConnCapMax,D236*1024*1024*1024/ConnDivisor)</f>
        <v/>
      </c>
      <c r="G236" s="15">
        <f>C236*CpuTarget</f>
        <v/>
      </c>
    </row>
    <row r="237">
      <c r="A237" s="10" t="inlineStr">
        <is>
          <t>db.r6idn.16xlarge</t>
        </is>
      </c>
      <c r="B237" s="46" t="n">
        <v>12.405</v>
      </c>
      <c r="C237" s="10" t="n">
        <v>64</v>
      </c>
      <c r="D237" s="10" t="n">
        <v>512</v>
      </c>
      <c r="E237" s="10" t="inlineStr">
        <is>
          <t>Memory optimized</t>
        </is>
      </c>
      <c r="F237" s="16">
        <f>MIN(ConnCapMax,D237*1024*1024*1024/ConnDivisor)</f>
        <v/>
      </c>
      <c r="G237" s="15">
        <f>C237*CpuTarget</f>
        <v/>
      </c>
    </row>
    <row r="238">
      <c r="A238" s="10" t="inlineStr">
        <is>
          <t>db.r8gd.24xlarge</t>
        </is>
      </c>
      <c r="B238" s="46" t="n">
        <v>13.104</v>
      </c>
      <c r="C238" s="10" t="n">
        <v>96</v>
      </c>
      <c r="D238" s="10" t="n">
        <v>768</v>
      </c>
      <c r="E238" s="10" t="inlineStr">
        <is>
          <t>Memory optimized</t>
        </is>
      </c>
      <c r="F238" s="16">
        <f>MIN(ConnCapMax,D238*1024*1024*1024/ConnDivisor)</f>
        <v/>
      </c>
      <c r="G238" s="15">
        <f>C238*CpuTarget</f>
        <v/>
      </c>
    </row>
    <row r="239">
      <c r="A239" s="10" t="inlineStr">
        <is>
          <t>db.r5d.24xlarge</t>
        </is>
      </c>
      <c r="B239" s="46" t="n">
        <v>13.714</v>
      </c>
      <c r="C239" s="10" t="n">
        <v>96</v>
      </c>
      <c r="D239" s="10" t="n">
        <v>768</v>
      </c>
      <c r="E239" s="10" t="inlineStr">
        <is>
          <t>Memory optimized</t>
        </is>
      </c>
      <c r="F239" s="16">
        <f>MIN(ConnCapMax,D239*1024*1024*1024/ConnDivisor)</f>
        <v/>
      </c>
      <c r="G239" s="15">
        <f>C239*CpuTarget</f>
        <v/>
      </c>
    </row>
    <row r="240">
      <c r="A240" s="10" t="inlineStr">
        <is>
          <t>db.m6idn.24xlarge</t>
        </is>
      </c>
      <c r="B240" s="46" t="n">
        <v>14.16</v>
      </c>
      <c r="C240" s="10" t="n">
        <v>96</v>
      </c>
      <c r="D240" s="10" t="n">
        <v>384</v>
      </c>
      <c r="E240" s="10" t="inlineStr">
        <is>
          <t>General purpose</t>
        </is>
      </c>
      <c r="F240" s="16">
        <f>MIN(ConnCapMax,D240*1024*1024*1024/ConnDivisor)</f>
        <v/>
      </c>
      <c r="G240" s="15">
        <f>C240*CpuTarget</f>
        <v/>
      </c>
    </row>
    <row r="241">
      <c r="A241" s="10" t="inlineStr">
        <is>
          <t>db.r5b.24xlarge</t>
        </is>
      </c>
      <c r="B241" s="46" t="n">
        <v>14.208</v>
      </c>
      <c r="C241" s="10" t="n">
        <v>96</v>
      </c>
      <c r="D241" s="10" t="n">
        <v>768</v>
      </c>
      <c r="E241" s="10" t="inlineStr">
        <is>
          <t>Memory optimized</t>
        </is>
      </c>
      <c r="F241" s="16">
        <f>MIN(ConnCapMax,D241*1024*1024*1024/ConnDivisor)</f>
        <v/>
      </c>
      <c r="G241" s="15">
        <f>C241*CpuTarget</f>
        <v/>
      </c>
    </row>
    <row r="242">
      <c r="A242" s="10" t="inlineStr">
        <is>
          <t>db.r6id.24xlarge</t>
        </is>
      </c>
      <c r="B242" s="46" t="n">
        <v>14.314</v>
      </c>
      <c r="C242" s="10" t="n">
        <v>96</v>
      </c>
      <c r="D242" s="10" t="n">
        <v>768</v>
      </c>
      <c r="E242" s="10" t="inlineStr">
        <is>
          <t>Memory optimized</t>
        </is>
      </c>
      <c r="F242" s="16">
        <f>MIN(ConnCapMax,D242*1024*1024*1024/ConnDivisor)</f>
        <v/>
      </c>
      <c r="G242" s="15">
        <f>C242*CpuTarget</f>
        <v/>
      </c>
    </row>
    <row r="243">
      <c r="A243" s="10" t="inlineStr">
        <is>
          <t>db.m6id.32xlarge</t>
        </is>
      </c>
      <c r="B243" s="46" t="n">
        <v>14.349</v>
      </c>
      <c r="C243" s="10" t="n">
        <v>128</v>
      </c>
      <c r="D243" s="10" t="n">
        <v>512</v>
      </c>
      <c r="E243" s="10" t="inlineStr">
        <is>
          <t>General purpose</t>
        </is>
      </c>
      <c r="F243" s="16">
        <f>MIN(ConnCapMax,D243*1024*1024*1024/ConnDivisor)</f>
        <v/>
      </c>
      <c r="G243" s="15">
        <f>C243*CpuTarget</f>
        <v/>
      </c>
    </row>
    <row r="244">
      <c r="A244" s="10" t="inlineStr">
        <is>
          <t>db.r8a.24xlarge</t>
        </is>
      </c>
      <c r="B244" s="46" t="n">
        <v>14.4912</v>
      </c>
      <c r="C244" s="10" t="n">
        <v>96</v>
      </c>
      <c r="D244" s="10" t="n">
        <v>768</v>
      </c>
      <c r="E244" s="10" t="inlineStr">
        <is>
          <t>Memory optimized</t>
        </is>
      </c>
      <c r="F244" s="16">
        <f>MIN(ConnCapMax,D244*1024*1024*1024/ConnDivisor)</f>
        <v/>
      </c>
      <c r="G244" s="15">
        <f>C244*CpuTarget</f>
        <v/>
      </c>
    </row>
    <row r="245">
      <c r="A245" s="10" t="inlineStr">
        <is>
          <t>db.x2iedn.8xlarge</t>
        </is>
      </c>
      <c r="B245" s="46" t="n">
        <v>15.216</v>
      </c>
      <c r="C245" s="10" t="n">
        <v>32</v>
      </c>
      <c r="D245" s="10" t="n">
        <v>1024</v>
      </c>
      <c r="E245" s="10" t="inlineStr">
        <is>
          <t>Memory optimized</t>
        </is>
      </c>
      <c r="F245" s="16">
        <f>MIN(ConnCapMax,D245*1024*1024*1024/ConnDivisor)</f>
        <v/>
      </c>
      <c r="G245" s="15">
        <f>C245*CpuTarget</f>
        <v/>
      </c>
    </row>
    <row r="246">
      <c r="A246" s="10" t="inlineStr">
        <is>
          <t>db.r6i.32xlarge</t>
        </is>
      </c>
      <c r="B246" s="46" t="n">
        <v>16</v>
      </c>
      <c r="C246" s="10" t="n">
        <v>128</v>
      </c>
      <c r="D246" s="10" t="n">
        <v>1024</v>
      </c>
      <c r="E246" s="10" t="inlineStr">
        <is>
          <t>Memory optimized</t>
        </is>
      </c>
      <c r="F246" s="16">
        <f>MIN(ConnCapMax,D246*1024*1024*1024/ConnDivisor)</f>
        <v/>
      </c>
      <c r="G246" s="15">
        <f>C246*CpuTarget</f>
        <v/>
      </c>
    </row>
    <row r="247">
      <c r="A247" s="10" t="inlineStr">
        <is>
          <t>db.m8g.48xlarge</t>
        </is>
      </c>
      <c r="B247" s="46" t="n">
        <v>16.128</v>
      </c>
      <c r="C247" s="10" t="n">
        <v>192</v>
      </c>
      <c r="D247" s="10" t="n">
        <v>768</v>
      </c>
      <c r="E247" s="10" t="inlineStr">
        <is>
          <t>General purpose</t>
        </is>
      </c>
      <c r="F247" s="16">
        <f>MIN(ConnCapMax,D247*1024*1024*1024/ConnDivisor)</f>
        <v/>
      </c>
      <c r="G247" s="15">
        <f>C247*CpuTarget</f>
        <v/>
      </c>
    </row>
    <row r="248">
      <c r="A248" s="10" t="inlineStr">
        <is>
          <t>db.m6in.32xlarge</t>
        </is>
      </c>
      <c r="B248" s="46" t="n">
        <v>16.525</v>
      </c>
      <c r="C248" s="10" t="n">
        <v>128</v>
      </c>
      <c r="D248" s="10" t="n">
        <v>512</v>
      </c>
      <c r="E248" s="10" t="inlineStr">
        <is>
          <t>General purpose</t>
        </is>
      </c>
      <c r="F248" s="16">
        <f>MIN(ConnCapMax,D248*1024*1024*1024/ConnDivisor)</f>
        <v/>
      </c>
      <c r="G248" s="15">
        <f>C248*CpuTarget</f>
        <v/>
      </c>
    </row>
    <row r="249">
      <c r="A249" s="10" t="inlineStr">
        <is>
          <t>db.r6in.24xlarge</t>
        </is>
      </c>
      <c r="B249" s="46" t="n">
        <v>16.603</v>
      </c>
      <c r="C249" s="10" t="n">
        <v>96</v>
      </c>
      <c r="D249" s="10" t="n">
        <v>768</v>
      </c>
      <c r="E249" s="10" t="inlineStr">
        <is>
          <t>Memory optimized</t>
        </is>
      </c>
      <c r="F249" s="16">
        <f>MIN(ConnCapMax,D249*1024*1024*1024/ConnDivisor)</f>
        <v/>
      </c>
      <c r="G249" s="15">
        <f>C249*CpuTarget</f>
        <v/>
      </c>
    </row>
    <row r="250">
      <c r="A250" s="10" t="inlineStr">
        <is>
          <t>db.m7i.48xlarge</t>
        </is>
      </c>
      <c r="B250" s="46" t="n">
        <v>17.088</v>
      </c>
      <c r="C250" s="10" t="n">
        <v>192</v>
      </c>
      <c r="D250" s="10" t="n">
        <v>768</v>
      </c>
      <c r="E250" s="10" t="inlineStr">
        <is>
          <t>General purpose</t>
        </is>
      </c>
      <c r="F250" s="16">
        <f>MIN(ConnCapMax,D250*1024*1024*1024/ConnDivisor)</f>
        <v/>
      </c>
      <c r="G250" s="15">
        <f>C250*CpuTarget</f>
        <v/>
      </c>
    </row>
    <row r="251">
      <c r="A251" s="10" t="inlineStr">
        <is>
          <t>db.m9g.48xlarge</t>
        </is>
      </c>
      <c r="B251" s="46" t="n">
        <v>17.58</v>
      </c>
      <c r="C251" s="10" t="n">
        <v>192</v>
      </c>
      <c r="D251" s="10" t="n">
        <v>768</v>
      </c>
      <c r="E251" s="10" t="inlineStr">
        <is>
          <t>General purpose</t>
        </is>
      </c>
      <c r="F251" s="16">
        <f>MIN(ConnCapMax,D251*1024*1024*1024/ConnDivisor)</f>
        <v/>
      </c>
      <c r="G251" s="15">
        <f>C251*CpuTarget</f>
        <v/>
      </c>
    </row>
    <row r="252">
      <c r="A252" s="10" t="inlineStr">
        <is>
          <t>db.r6idn.24xlarge</t>
        </is>
      </c>
      <c r="B252" s="46" t="n">
        <v>18.608</v>
      </c>
      <c r="C252" s="10" t="n">
        <v>96</v>
      </c>
      <c r="D252" s="10" t="n">
        <v>768</v>
      </c>
      <c r="E252" s="10" t="inlineStr">
        <is>
          <t>Memory optimized</t>
        </is>
      </c>
      <c r="F252" s="16">
        <f>MIN(ConnCapMax,D252*1024*1024*1024/ConnDivisor)</f>
        <v/>
      </c>
      <c r="G252" s="15">
        <f>C252*CpuTarget</f>
        <v/>
      </c>
    </row>
    <row r="253">
      <c r="A253" s="10" t="inlineStr">
        <is>
          <t>db.m6idn.32xlarge</t>
        </is>
      </c>
      <c r="B253" s="46" t="n">
        <v>18.88</v>
      </c>
      <c r="C253" s="10" t="n">
        <v>128</v>
      </c>
      <c r="D253" s="10" t="n">
        <v>512</v>
      </c>
      <c r="E253" s="10" t="inlineStr">
        <is>
          <t>General purpose</t>
        </is>
      </c>
      <c r="F253" s="16">
        <f>MIN(ConnCapMax,D253*1024*1024*1024/ConnDivisor)</f>
        <v/>
      </c>
      <c r="G253" s="15">
        <f>C253*CpuTarget</f>
        <v/>
      </c>
    </row>
    <row r="254">
      <c r="A254" s="10" t="inlineStr">
        <is>
          <t>db.m8gd.48xlarge</t>
        </is>
      </c>
      <c r="B254" s="46" t="n">
        <v>18.9696</v>
      </c>
      <c r="C254" s="10" t="n">
        <v>192</v>
      </c>
      <c r="D254" s="10" t="n">
        <v>768</v>
      </c>
      <c r="E254" s="10" t="inlineStr">
        <is>
          <t>Memory optimized</t>
        </is>
      </c>
      <c r="F254" s="16">
        <f>MIN(ConnCapMax,D254*1024*1024*1024/ConnDivisor)</f>
        <v/>
      </c>
      <c r="G254" s="15">
        <f>C254*CpuTarget</f>
        <v/>
      </c>
    </row>
    <row r="255">
      <c r="A255" s="10" t="inlineStr">
        <is>
          <t>db.r6id.32xlarge</t>
        </is>
      </c>
      <c r="B255" s="46" t="n">
        <v>19.086</v>
      </c>
      <c r="C255" s="10" t="n">
        <v>128</v>
      </c>
      <c r="D255" s="10" t="n">
        <v>1024</v>
      </c>
      <c r="E255" s="10" t="inlineStr">
        <is>
          <t>Memory optimized</t>
        </is>
      </c>
      <c r="F255" s="16">
        <f>MIN(ConnCapMax,D255*1024*1024*1024/ConnDivisor)</f>
        <v/>
      </c>
      <c r="G255" s="15">
        <f>C255*CpuTarget</f>
        <v/>
      </c>
    </row>
    <row r="256">
      <c r="A256" s="10" t="inlineStr">
        <is>
          <t>db.m8a.48xlarge</t>
        </is>
      </c>
      <c r="B256" s="46" t="n">
        <v>20.6304</v>
      </c>
      <c r="C256" s="10" t="n">
        <v>192</v>
      </c>
      <c r="D256" s="10" t="n">
        <v>768</v>
      </c>
      <c r="E256" s="10" t="inlineStr">
        <is>
          <t>General purpose</t>
        </is>
      </c>
      <c r="F256" s="16">
        <f>MIN(ConnCapMax,D256*1024*1024*1024/ConnDivisor)</f>
        <v/>
      </c>
      <c r="G256" s="15">
        <f>C256*CpuTarget</f>
        <v/>
      </c>
    </row>
    <row r="257">
      <c r="A257" s="10" t="inlineStr">
        <is>
          <t>db.r6in.32xlarge</t>
        </is>
      </c>
      <c r="B257" s="46" t="n">
        <v>22.138</v>
      </c>
      <c r="C257" s="10" t="n">
        <v>128</v>
      </c>
      <c r="D257" s="10" t="n">
        <v>1024</v>
      </c>
      <c r="E257" s="10" t="inlineStr">
        <is>
          <t>Memory optimized</t>
        </is>
      </c>
      <c r="F257" s="16">
        <f>MIN(ConnCapMax,D257*1024*1024*1024/ConnDivisor)</f>
        <v/>
      </c>
      <c r="G257" s="15">
        <f>C257*CpuTarget</f>
        <v/>
      </c>
    </row>
    <row r="258">
      <c r="A258" s="10" t="inlineStr">
        <is>
          <t>db.r8g.48xlarge</t>
        </is>
      </c>
      <c r="B258" s="46" t="n">
        <v>22.944</v>
      </c>
      <c r="C258" s="10" t="n">
        <v>192</v>
      </c>
      <c r="D258" s="10" t="n">
        <v>1536</v>
      </c>
      <c r="E258" s="10" t="inlineStr">
        <is>
          <t>Memory optimized</t>
        </is>
      </c>
      <c r="F258" s="16">
        <f>MIN(ConnCapMax,D258*1024*1024*1024/ConnDivisor)</f>
        <v/>
      </c>
      <c r="G258" s="15">
        <f>C258*CpuTarget</f>
        <v/>
      </c>
    </row>
    <row r="259">
      <c r="A259" s="10" t="inlineStr">
        <is>
          <t>db.r7i.48xlarge</t>
        </is>
      </c>
      <c r="B259" s="46" t="n">
        <v>24</v>
      </c>
      <c r="C259" s="10" t="n">
        <v>192</v>
      </c>
      <c r="D259" s="10" t="n">
        <v>1536</v>
      </c>
      <c r="E259" s="10" t="inlineStr">
        <is>
          <t>Memory optimized</t>
        </is>
      </c>
      <c r="F259" s="16">
        <f>MIN(ConnCapMax,D259*1024*1024*1024/ConnDivisor)</f>
        <v/>
      </c>
      <c r="G259" s="15">
        <f>C259*CpuTarget</f>
        <v/>
      </c>
    </row>
    <row r="260">
      <c r="A260" s="10" t="inlineStr">
        <is>
          <t>db.r6idn.32xlarge</t>
        </is>
      </c>
      <c r="B260" s="46" t="n">
        <v>24.81</v>
      </c>
      <c r="C260" s="10" t="n">
        <v>128</v>
      </c>
      <c r="D260" s="10" t="n">
        <v>1024</v>
      </c>
      <c r="E260" s="10" t="inlineStr">
        <is>
          <t>Memory optimized</t>
        </is>
      </c>
      <c r="F260" s="16">
        <f>MIN(ConnCapMax,D260*1024*1024*1024/ConnDivisor)</f>
        <v/>
      </c>
      <c r="G260" s="15">
        <f>C260*CpuTarget</f>
        <v/>
      </c>
    </row>
    <row r="261">
      <c r="A261" s="10" t="inlineStr">
        <is>
          <t>db.r8gd.48xlarge</t>
        </is>
      </c>
      <c r="B261" s="46" t="n">
        <v>26.208</v>
      </c>
      <c r="C261" s="10" t="n">
        <v>192</v>
      </c>
      <c r="D261" s="10" t="n">
        <v>1536</v>
      </c>
      <c r="E261" s="10" t="inlineStr">
        <is>
          <t>Memory optimized</t>
        </is>
      </c>
      <c r="F261" s="16">
        <f>MIN(ConnCapMax,D261*1024*1024*1024/ConnDivisor)</f>
        <v/>
      </c>
      <c r="G261" s="15">
        <f>C261*CpuTarget</f>
        <v/>
      </c>
    </row>
    <row r="262">
      <c r="A262" s="10" t="inlineStr">
        <is>
          <t>db.r8a.48xlarge</t>
        </is>
      </c>
      <c r="B262" s="46" t="n">
        <v>28.9824</v>
      </c>
      <c r="C262" s="10" t="n">
        <v>192</v>
      </c>
      <c r="D262" s="10" t="n">
        <v>1536</v>
      </c>
      <c r="E262" s="10" t="inlineStr">
        <is>
          <t>Memory optimized</t>
        </is>
      </c>
      <c r="F262" s="16">
        <f>MIN(ConnCapMax,D262*1024*1024*1024/ConnDivisor)</f>
        <v/>
      </c>
      <c r="G262" s="15">
        <f>C262*CpuTarget</f>
        <v/>
      </c>
    </row>
    <row r="263">
      <c r="A263" s="10" t="inlineStr">
        <is>
          <t>db.x2iedn.16xlarge</t>
        </is>
      </c>
      <c r="B263" s="46" t="n">
        <v>30.432</v>
      </c>
      <c r="C263" s="10" t="n">
        <v>64</v>
      </c>
      <c r="D263" s="10" t="n">
        <v>2048</v>
      </c>
      <c r="E263" s="10" t="inlineStr">
        <is>
          <t>Memory optimized</t>
        </is>
      </c>
      <c r="F263" s="16">
        <f>MIN(ConnCapMax,D263*1024*1024*1024/ConnDivisor)</f>
        <v/>
      </c>
      <c r="G263" s="15">
        <f>C263*CpuTarget</f>
        <v/>
      </c>
    </row>
    <row r="264">
      <c r="A264" s="10" t="inlineStr">
        <is>
          <t>db.x2iedn.24xlarge</t>
        </is>
      </c>
      <c r="B264" s="46" t="n">
        <v>45.648</v>
      </c>
      <c r="C264" s="10" t="n">
        <v>96</v>
      </c>
      <c r="D264" s="10" t="n">
        <v>3072</v>
      </c>
      <c r="E264" s="10" t="inlineStr">
        <is>
          <t>Memory optimized</t>
        </is>
      </c>
      <c r="F264" s="16">
        <f>MIN(ConnCapMax,D264*1024*1024*1024/ConnDivisor)</f>
        <v/>
      </c>
      <c r="G264" s="15">
        <f>C264*CpuTarget</f>
        <v/>
      </c>
    </row>
    <row r="265">
      <c r="A265" s="10" t="inlineStr">
        <is>
          <t>db.x2iedn.32xlarge</t>
        </is>
      </c>
      <c r="B265" s="46" t="n">
        <v>60.864</v>
      </c>
      <c r="C265" s="10" t="n">
        <v>128</v>
      </c>
      <c r="D265" s="10" t="n">
        <v>4096</v>
      </c>
      <c r="E265" s="10" t="inlineStr">
        <is>
          <t>Memory optimized</t>
        </is>
      </c>
      <c r="F265" s="16">
        <f>MIN(ConnCapMax,D265*1024*1024*1024/ConnDivisor)</f>
        <v/>
      </c>
      <c r="G265" s="15">
        <f>C265*CpuTarget</f>
        <v/>
      </c>
    </row>
  </sheetData>
  <autoFilter ref="A4:G265"/>
  <mergeCells count="1">
    <mergeCell ref="A2:G2"/>
  </mergeCells>
  <pageMargins left="0.5" right="0.5" top="0.75" bottom="0.5" header="0.5" footer="0.5"/>
  <pageSetup orientation="landscape" paperSize="3" fitToHeight="0" fitToWidth="1"/>
  <headerFooter>
    <oddHeader>&amp;LClasses</oddHeader>
    <oddFooter>&amp;LEstimate only. No provision. PoC $0.&amp;RPage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2026-10-03T00:31:33Z</dcterms:created>
  <dcterms:modified xmlns:dcterms="http://purl.org/dc/terms/" xmlns:xsi="http://www.w3.org/2001/XMLSchema-instance" xsi:type="dcterms:W3CDTF">2026-10-03T00:49:08Z</dcterms:modified>
</cp:coreProperties>
</file>